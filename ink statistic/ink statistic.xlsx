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ink statistic\"/>
    </mc:Choice>
  </mc:AlternateContent>
  <xr:revisionPtr revIDLastSave="0" documentId="13_ncr:1_{8ED7B57C-CD7B-4198-BA0A-D58A9CF8D9A9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total" sheetId="3" r:id="rId1"/>
    <sheet name="Лист1" sheetId="1" r:id="rId2"/>
    <sheet name="Лист2" sheetId="2" r:id="rId3"/>
    <sheet name="Лист3" sheetId="4" r:id="rId4"/>
    <sheet name="Лист4" sheetId="5" r:id="rId5"/>
    <sheet name="Лист5" sheetId="6" r:id="rId6"/>
    <sheet name="остатки 12.05.2026" sheetId="8" r:id="rId7"/>
    <sheet name="остатки" sheetId="10" r:id="rId8"/>
    <sheet name="06.10.2026" sheetId="14" r:id="rId9"/>
    <sheet name="Лист6" sheetId="13" r:id="rId10"/>
    <sheet name="спрос" sheetId="12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4" l="1"/>
  <c r="G18" i="14" s="1"/>
  <c r="J18" i="14" s="1"/>
  <c r="E18" i="14"/>
  <c r="F17" i="14"/>
  <c r="E17" i="14"/>
  <c r="B17" i="14"/>
  <c r="F16" i="14"/>
  <c r="E16" i="14"/>
  <c r="B16" i="14"/>
  <c r="G16" i="14" s="1"/>
  <c r="G15" i="14"/>
  <c r="E15" i="14"/>
  <c r="G14" i="14"/>
  <c r="E14" i="14"/>
  <c r="G13" i="14"/>
  <c r="E13" i="14"/>
  <c r="F12" i="14"/>
  <c r="G12" i="14" s="1"/>
  <c r="J12" i="14" s="1"/>
  <c r="E12" i="14"/>
  <c r="F11" i="14"/>
  <c r="G11" i="14" s="1"/>
  <c r="J11" i="14" s="1"/>
  <c r="E11" i="14"/>
  <c r="S10" i="14"/>
  <c r="F10" i="14"/>
  <c r="G10" i="14" s="1"/>
  <c r="J10" i="14" s="1"/>
  <c r="M10" i="14" s="1"/>
  <c r="E10" i="14"/>
  <c r="R9" i="14"/>
  <c r="R10" i="14" s="1"/>
  <c r="Q9" i="14"/>
  <c r="Q10" i="14" s="1"/>
  <c r="F9" i="14"/>
  <c r="G9" i="14" s="1"/>
  <c r="E9" i="14"/>
  <c r="F8" i="14"/>
  <c r="G8" i="14" s="1"/>
  <c r="J8" i="14" s="1"/>
  <c r="E8" i="14"/>
  <c r="F7" i="14"/>
  <c r="G7" i="14" s="1"/>
  <c r="J7" i="14" s="1"/>
  <c r="E7" i="14"/>
  <c r="F6" i="14"/>
  <c r="G6" i="14" s="1"/>
  <c r="J6" i="14" s="1"/>
  <c r="E6" i="14"/>
  <c r="F5" i="14"/>
  <c r="G5" i="14" s="1"/>
  <c r="J5" i="14" s="1"/>
  <c r="E5" i="14"/>
  <c r="F4" i="14"/>
  <c r="G4" i="14" s="1"/>
  <c r="J4" i="14" s="1"/>
  <c r="E4" i="14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4" i="10"/>
  <c r="B15" i="13"/>
  <c r="B14" i="13"/>
  <c r="F16" i="10"/>
  <c r="B17" i="10"/>
  <c r="B16" i="10"/>
  <c r="G15" i="10"/>
  <c r="G14" i="10"/>
  <c r="G13" i="10"/>
  <c r="F17" i="10"/>
  <c r="F18" i="10"/>
  <c r="G18" i="10"/>
  <c r="S10" i="10"/>
  <c r="Q9" i="10"/>
  <c r="Q10" i="10" s="1"/>
  <c r="R9" i="10"/>
  <c r="R10" i="10" s="1"/>
  <c r="M10" i="10"/>
  <c r="C8" i="12"/>
  <c r="B8" i="12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J10" i="10" s="1"/>
  <c r="L10" i="10" s="1"/>
  <c r="F11" i="10"/>
  <c r="G11" i="10" s="1"/>
  <c r="J11" i="10" s="1"/>
  <c r="F12" i="10"/>
  <c r="G12" i="10" s="1"/>
  <c r="J12" i="10" s="1"/>
  <c r="F4" i="10"/>
  <c r="G4" i="10" s="1"/>
  <c r="A22" i="8"/>
  <c r="H8" i="14" l="1"/>
  <c r="H11" i="14"/>
  <c r="G17" i="14"/>
  <c r="H17" i="14" s="1"/>
  <c r="H5" i="14"/>
  <c r="H6" i="14"/>
  <c r="K8" i="14"/>
  <c r="M8" i="14" s="1"/>
  <c r="H7" i="14"/>
  <c r="H12" i="14"/>
  <c r="J9" i="14"/>
  <c r="H9" i="14"/>
  <c r="H16" i="14"/>
  <c r="H4" i="14"/>
  <c r="H18" i="14"/>
  <c r="H10" i="14"/>
  <c r="G16" i="10"/>
  <c r="H16" i="10" s="1"/>
  <c r="G17" i="10"/>
  <c r="H18" i="10"/>
  <c r="J18" i="10"/>
  <c r="H17" i="10"/>
  <c r="H4" i="10"/>
  <c r="H9" i="10"/>
  <c r="H8" i="10"/>
  <c r="H7" i="10"/>
  <c r="H6" i="10"/>
  <c r="H5" i="10"/>
  <c r="H12" i="10"/>
  <c r="H11" i="10"/>
  <c r="J4" i="10"/>
  <c r="J5" i="10"/>
  <c r="J6" i="10"/>
  <c r="J7" i="10"/>
  <c r="J9" i="10"/>
  <c r="J8" i="10"/>
  <c r="H10" i="10"/>
  <c r="K6" i="8"/>
  <c r="C10" i="8"/>
  <c r="G10" i="8" s="1"/>
  <c r="I10" i="8" s="1"/>
  <c r="C9" i="8"/>
  <c r="G9" i="8" s="1"/>
  <c r="I9" i="8" s="1"/>
  <c r="C8" i="8"/>
  <c r="G8" i="8" s="1"/>
  <c r="I8" i="8" s="1"/>
  <c r="K8" i="8" s="1"/>
  <c r="C7" i="8"/>
  <c r="G7" i="8" s="1"/>
  <c r="I7" i="8" s="1"/>
  <c r="K7" i="8" s="1"/>
  <c r="E10" i="8"/>
  <c r="E9" i="8"/>
  <c r="E8" i="8"/>
  <c r="E7" i="8"/>
  <c r="E6" i="8"/>
  <c r="E5" i="8"/>
  <c r="E4" i="8"/>
  <c r="E3" i="8"/>
  <c r="E2" i="8"/>
  <c r="G6" i="3"/>
  <c r="M9" i="14" l="1"/>
  <c r="O8" i="14"/>
  <c r="H6" i="3"/>
  <c r="C6" i="8" s="1"/>
  <c r="G6" i="8" s="1"/>
  <c r="I6" i="8" s="1"/>
  <c r="L9" i="10"/>
  <c r="M9" i="10" s="1"/>
  <c r="O8" i="10"/>
  <c r="K8" i="10"/>
  <c r="L8" i="10" s="1"/>
  <c r="L8" i="8"/>
  <c r="M18" i="14" l="1"/>
  <c r="L11" i="10"/>
  <c r="M8" i="10"/>
  <c r="M11" i="10" s="1"/>
  <c r="F2" i="3"/>
  <c r="B7" i="6"/>
  <c r="B7" i="1"/>
  <c r="B7" i="2"/>
  <c r="B7" i="4"/>
  <c r="B7" i="5"/>
  <c r="B6" i="3"/>
  <c r="C6" i="3" s="1"/>
  <c r="B5" i="3"/>
  <c r="B4" i="3"/>
  <c r="B3" i="3"/>
  <c r="B2" i="3"/>
  <c r="C5" i="3" l="1"/>
  <c r="G5" i="3"/>
  <c r="H5" i="3" s="1"/>
  <c r="C5" i="8" s="1"/>
  <c r="G5" i="8" s="1"/>
  <c r="I5" i="8" s="1"/>
  <c r="C2" i="3"/>
  <c r="G2" i="3"/>
  <c r="H2" i="3" s="1"/>
  <c r="C2" i="8" s="1"/>
  <c r="G2" i="8" s="1"/>
  <c r="I2" i="8" s="1"/>
  <c r="M4" i="8" s="1"/>
  <c r="C3" i="3"/>
  <c r="G3" i="3"/>
  <c r="H3" i="3" s="1"/>
  <c r="C3" i="8" s="1"/>
  <c r="G3" i="8" s="1"/>
  <c r="I3" i="8" s="1"/>
  <c r="C4" i="3"/>
  <c r="G4" i="3"/>
  <c r="H4" i="3" s="1"/>
  <c r="C4" i="8" s="1"/>
  <c r="G4" i="8" s="1"/>
  <c r="I4" i="8" s="1"/>
</calcChain>
</file>

<file path=xl/sharedStrings.xml><?xml version="1.0" encoding="utf-8"?>
<sst xmlns="http://schemas.openxmlformats.org/spreadsheetml/2006/main" count="149" uniqueCount="47">
  <si>
    <t>k</t>
  </si>
  <si>
    <t>c</t>
  </si>
  <si>
    <t>m</t>
  </si>
  <si>
    <t>y</t>
  </si>
  <si>
    <t>w</t>
  </si>
  <si>
    <t>100 шт</t>
  </si>
  <si>
    <t>10ml/m2</t>
  </si>
  <si>
    <t>60m2 рулон</t>
  </si>
  <si>
    <t>ml</t>
  </si>
  <si>
    <t>наши рачеты на 1 рулон уходит</t>
  </si>
  <si>
    <t>powder</t>
  </si>
  <si>
    <t>film</t>
  </si>
  <si>
    <t>clean solution</t>
  </si>
  <si>
    <t>скотч металл</t>
  </si>
  <si>
    <t>остатки</t>
  </si>
  <si>
    <t>шт</t>
  </si>
  <si>
    <t>расход</t>
  </si>
  <si>
    <t>в пути</t>
  </si>
  <si>
    <t>итого</t>
  </si>
  <si>
    <t>спрос в мес</t>
  </si>
  <si>
    <t>количество расхода в месяц</t>
  </si>
  <si>
    <t>остатки итого</t>
  </si>
  <si>
    <t>купить на X месяцев</t>
  </si>
  <si>
    <t>краски</t>
  </si>
  <si>
    <t>коробка 230х190х190</t>
  </si>
  <si>
    <t>пакеты 22х30</t>
  </si>
  <si>
    <t>пакеты 18х25</t>
  </si>
  <si>
    <t>хватит на мес</t>
  </si>
  <si>
    <t>коробка 310х240х200</t>
  </si>
  <si>
    <t>коробка 310х240х100</t>
  </si>
  <si>
    <t>заказать на Х месяцев</t>
  </si>
  <si>
    <t>спрос наклеек</t>
  </si>
  <si>
    <t>Amazing Pics WB</t>
  </si>
  <si>
    <t>Amazing Pics Ozon</t>
  </si>
  <si>
    <t>Puunky Monkey Wb</t>
  </si>
  <si>
    <t>Puunky Monkey Ozon</t>
  </si>
  <si>
    <t>Puunky Monkey Stickers Ozon</t>
  </si>
  <si>
    <t>в день</t>
  </si>
  <si>
    <t>в месяц</t>
  </si>
  <si>
    <t>цена</t>
  </si>
  <si>
    <t>xiinflying</t>
  </si>
  <si>
    <t>россия</t>
  </si>
  <si>
    <t>06.06.2026 в пути</t>
  </si>
  <si>
    <t>резка</t>
  </si>
  <si>
    <t>упаковка</t>
  </si>
  <si>
    <t>картон, кг</t>
  </si>
  <si>
    <t>22.06.2026 в пути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</si>
</sst>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1" xfId="0" applyFont="1" applyFill="1" applyBorder="1"/>
    <xf numFmtId="14" fontId="0" fillId="0" borderId="0" xfId="0" applyNumberFormat="1"/>
    <xf numFmtId="0" fontId="0" fillId="0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 applyFill="1" applyBorder="1"/>
    <xf numFmtId="0" fontId="0" fillId="7" borderId="0" xfId="0" applyFill="1"/>
    <xf numFmtId="0" fontId="0" fillId="4" borderId="2" xfId="0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0" fillId="5" borderId="0" xfId="0" applyFill="1"/>
    <xf numFmtId="0" fontId="0" fillId="5" borderId="2" xfId="0" applyFill="1" applyBorder="1"/>
    <xf numFmtId="14" fontId="1" fillId="4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238C-D5E6-459E-9CEF-E017A45F1F58}">
  <dimension ref="A1:H10"/>
  <sheetViews>
    <sheetView workbookViewId="0">
      <selection activeCell="G6" sqref="G6"/>
    </sheetView>
  </sheetViews>
  <sheetFormatPr defaultRowHeight="15" x14ac:dyDescent="0.25"/>
  <cols>
    <col min="1" max="1" width="14" customWidth="1"/>
    <col min="2" max="2" width="8.42578125" customWidth="1"/>
    <col min="5" max="5" width="14.85546875" customWidth="1"/>
    <col min="7" max="7" width="30.7109375" customWidth="1"/>
  </cols>
  <sheetData>
    <row r="1" spans="1:8" x14ac:dyDescent="0.25"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15</v>
      </c>
    </row>
    <row r="2" spans="1:8" x14ac:dyDescent="0.25">
      <c r="A2" t="s">
        <v>0</v>
      </c>
      <c r="B2">
        <f>(Лист1!B2+Лист2!B2+Лист3!B2+Лист4!B2+Лист5!B2)/5</f>
        <v>3.6560000000000002E-2</v>
      </c>
      <c r="C2">
        <f>ROUND(B2*100,0)</f>
        <v>4</v>
      </c>
      <c r="D2">
        <v>10</v>
      </c>
      <c r="E2">
        <v>60</v>
      </c>
      <c r="F2">
        <f>D2*E2</f>
        <v>600</v>
      </c>
      <c r="G2">
        <f>G6*B2</f>
        <v>91.4</v>
      </c>
      <c r="H2">
        <f>ROUND(G2/1000,2)</f>
        <v>0.09</v>
      </c>
    </row>
    <row r="3" spans="1:8" x14ac:dyDescent="0.25">
      <c r="A3" t="s">
        <v>1</v>
      </c>
      <c r="B3">
        <f>(Лист1!B3+Лист2!B3+Лист3!B3+Лист4!B3+Лист5!B3)/5</f>
        <v>3.6759999999999994E-2</v>
      </c>
      <c r="C3">
        <f t="shared" ref="C3:C6" si="0">ROUND(B3*100,0)</f>
        <v>4</v>
      </c>
      <c r="G3">
        <f>G6*B3</f>
        <v>91.899999999999991</v>
      </c>
      <c r="H3">
        <f t="shared" ref="H3:H6" si="1">ROUND(G3/1000,2)</f>
        <v>0.09</v>
      </c>
    </row>
    <row r="4" spans="1:8" x14ac:dyDescent="0.25">
      <c r="A4" t="s">
        <v>2</v>
      </c>
      <c r="B4">
        <f>(Лист1!B4+Лист2!B4+Лист3!B4+Лист4!B4+Лист5!B4)/5</f>
        <v>7.4840000000000004E-2</v>
      </c>
      <c r="C4">
        <f t="shared" si="0"/>
        <v>7</v>
      </c>
      <c r="G4">
        <f>G6*B4</f>
        <v>187.10000000000002</v>
      </c>
      <c r="H4">
        <f t="shared" si="1"/>
        <v>0.19</v>
      </c>
    </row>
    <row r="5" spans="1:8" x14ac:dyDescent="0.25">
      <c r="A5" t="s">
        <v>3</v>
      </c>
      <c r="B5">
        <f>(Лист1!B5+Лист2!B5+Лист3!B5+Лист4!B5+Лист5!B5)/5</f>
        <v>9.4320000000000001E-2</v>
      </c>
      <c r="C5">
        <f t="shared" si="0"/>
        <v>9</v>
      </c>
      <c r="G5">
        <f>G6*B5</f>
        <v>235.8</v>
      </c>
      <c r="H5">
        <f t="shared" si="1"/>
        <v>0.24</v>
      </c>
    </row>
    <row r="6" spans="1:8" x14ac:dyDescent="0.25">
      <c r="A6" t="s">
        <v>4</v>
      </c>
      <c r="B6">
        <f>(Лист1!B6+Лист2!B6+Лист3!B6+Лист4!B6+Лист5!B6)/5</f>
        <v>0.75716000000000006</v>
      </c>
      <c r="C6">
        <f t="shared" si="0"/>
        <v>76</v>
      </c>
      <c r="G6">
        <f>2500</f>
        <v>2500</v>
      </c>
      <c r="H6">
        <f t="shared" si="1"/>
        <v>2.5</v>
      </c>
    </row>
    <row r="7" spans="1:8" x14ac:dyDescent="0.25">
      <c r="A7" t="s">
        <v>10</v>
      </c>
      <c r="H7">
        <v>4</v>
      </c>
    </row>
    <row r="8" spans="1:8" x14ac:dyDescent="0.25">
      <c r="A8" t="s">
        <v>11</v>
      </c>
      <c r="H8">
        <v>1</v>
      </c>
    </row>
    <row r="9" spans="1:8" x14ac:dyDescent="0.25">
      <c r="A9" t="s">
        <v>12</v>
      </c>
      <c r="H9">
        <v>0.25</v>
      </c>
    </row>
    <row r="10" spans="1:8" x14ac:dyDescent="0.25">
      <c r="A10" t="s">
        <v>13</v>
      </c>
      <c r="H1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workbookViewId="0">
      <selection activeCell="B7" sqref="B7"/>
    </sheetView>
  </sheetViews>
  <sheetFormatPr defaultRowHeight="15" x14ac:dyDescent="0.25"/>
  <sheetData>
    <row r="2" spans="1:2" x14ac:dyDescent="0.25">
      <c r="A2" t="s">
        <v>0</v>
      </c>
      <c r="B2">
        <v>2.3300000000000001E-2</v>
      </c>
    </row>
    <row r="3" spans="1:2" x14ac:dyDescent="0.25">
      <c r="A3" t="s">
        <v>1</v>
      </c>
      <c r="B3">
        <v>2.5399999999999999E-2</v>
      </c>
    </row>
    <row r="4" spans="1:2" x14ac:dyDescent="0.25">
      <c r="A4" t="s">
        <v>2</v>
      </c>
      <c r="B4">
        <v>6.7400000000000002E-2</v>
      </c>
    </row>
    <row r="5" spans="1:2" x14ac:dyDescent="0.25">
      <c r="A5" t="s">
        <v>3</v>
      </c>
      <c r="B5">
        <v>0.1212</v>
      </c>
    </row>
    <row r="6" spans="1:2" x14ac:dyDescent="0.25">
      <c r="A6" t="s">
        <v>4</v>
      </c>
      <c r="B6">
        <v>0.76270000000000004</v>
      </c>
    </row>
    <row r="7" spans="1:2" x14ac:dyDescent="0.25">
      <c r="B7">
        <f>SUM(B2:B6)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5FB0-ECB9-47D4-BE04-0C95B3A3395A}">
  <dimension ref="A2:B7"/>
  <sheetViews>
    <sheetView workbookViewId="0">
      <selection activeCell="B7" sqref="B7"/>
    </sheetView>
  </sheetViews>
  <sheetFormatPr defaultRowHeight="15" x14ac:dyDescent="0.25"/>
  <sheetData>
    <row r="2" spans="1:2" x14ac:dyDescent="0.25">
      <c r="A2" t="s">
        <v>0</v>
      </c>
      <c r="B2">
        <v>4.0300000000000002E-2</v>
      </c>
    </row>
    <row r="3" spans="1:2" x14ac:dyDescent="0.25">
      <c r="A3" t="s">
        <v>1</v>
      </c>
      <c r="B3">
        <v>3.4799999999999998E-2</v>
      </c>
    </row>
    <row r="4" spans="1:2" x14ac:dyDescent="0.25">
      <c r="A4" t="s">
        <v>2</v>
      </c>
      <c r="B4">
        <v>6.7599999999999993E-2</v>
      </c>
    </row>
    <row r="5" spans="1:2" x14ac:dyDescent="0.25">
      <c r="A5" t="s">
        <v>3</v>
      </c>
      <c r="B5">
        <v>0.1215</v>
      </c>
    </row>
    <row r="6" spans="1:2" x14ac:dyDescent="0.25">
      <c r="A6" t="s">
        <v>4</v>
      </c>
      <c r="B6">
        <v>0.73550000000000004</v>
      </c>
    </row>
    <row r="7" spans="1:2" x14ac:dyDescent="0.25">
      <c r="B7">
        <f>SUM(B2:B6)</f>
        <v>0.99970000000000003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5C2F-8595-4FFF-BC02-593D2927B4F4}">
  <dimension ref="A2:B7"/>
  <sheetViews>
    <sheetView workbookViewId="0">
      <selection activeCell="B8" sqref="B8"/>
    </sheetView>
  </sheetViews>
  <sheetFormatPr defaultRowHeight="15" x14ac:dyDescent="0.25"/>
  <sheetData>
    <row r="2" spans="1:2" x14ac:dyDescent="0.25">
      <c r="A2" t="s">
        <v>0</v>
      </c>
      <c r="B2">
        <v>2.9399999999999999E-2</v>
      </c>
    </row>
    <row r="3" spans="1:2" x14ac:dyDescent="0.25">
      <c r="A3" t="s">
        <v>1</v>
      </c>
      <c r="B3">
        <v>4.1700000000000001E-2</v>
      </c>
    </row>
    <row r="4" spans="1:2" x14ac:dyDescent="0.25">
      <c r="A4" t="s">
        <v>2</v>
      </c>
      <c r="B4">
        <v>7.4800000000000005E-2</v>
      </c>
    </row>
    <row r="5" spans="1:2" x14ac:dyDescent="0.25">
      <c r="A5" t="s">
        <v>3</v>
      </c>
      <c r="B5">
        <v>8.4500000000000006E-2</v>
      </c>
    </row>
    <row r="6" spans="1:2" x14ac:dyDescent="0.25">
      <c r="A6" t="s">
        <v>4</v>
      </c>
      <c r="B6">
        <v>0.76980000000000004</v>
      </c>
    </row>
    <row r="7" spans="1:2" x14ac:dyDescent="0.25">
      <c r="B7">
        <f>SUM(B2:B6)</f>
        <v>1.0002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9167-92B2-489F-86B0-C0A74BA0E763}">
  <dimension ref="A2:B7"/>
  <sheetViews>
    <sheetView workbookViewId="0">
      <selection activeCell="B7" sqref="B7"/>
    </sheetView>
  </sheetViews>
  <sheetFormatPr defaultRowHeight="15" x14ac:dyDescent="0.25"/>
  <sheetData>
    <row r="2" spans="1:2" x14ac:dyDescent="0.25">
      <c r="A2" t="s">
        <v>0</v>
      </c>
      <c r="B2">
        <v>4.5999999999999999E-2</v>
      </c>
    </row>
    <row r="3" spans="1:2" x14ac:dyDescent="0.25">
      <c r="A3" t="s">
        <v>1</v>
      </c>
      <c r="B3">
        <v>4.4999999999999998E-2</v>
      </c>
    </row>
    <row r="4" spans="1:2" x14ac:dyDescent="0.25">
      <c r="A4" t="s">
        <v>2</v>
      </c>
      <c r="B4">
        <v>8.6800000000000002E-2</v>
      </c>
    </row>
    <row r="5" spans="1:2" x14ac:dyDescent="0.25">
      <c r="A5" t="s">
        <v>3</v>
      </c>
      <c r="B5">
        <v>7.0000000000000007E-2</v>
      </c>
    </row>
    <row r="6" spans="1:2" x14ac:dyDescent="0.25">
      <c r="A6" t="s">
        <v>4</v>
      </c>
      <c r="B6">
        <v>0.75</v>
      </c>
    </row>
    <row r="7" spans="1:2" x14ac:dyDescent="0.25">
      <c r="B7">
        <f>SUM(B2:B6)</f>
        <v>0.99780000000000002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CF9D-614D-40DF-AA98-C8C3D39CF332}">
  <dimension ref="A2:B7"/>
  <sheetViews>
    <sheetView workbookViewId="0">
      <selection activeCell="A2" sqref="A2:A6"/>
    </sheetView>
  </sheetViews>
  <sheetFormatPr defaultRowHeight="15" x14ac:dyDescent="0.25"/>
  <sheetData>
    <row r="2" spans="1:2" x14ac:dyDescent="0.25">
      <c r="A2" t="s">
        <v>0</v>
      </c>
      <c r="B2">
        <v>4.3799999999999999E-2</v>
      </c>
    </row>
    <row r="3" spans="1:2" x14ac:dyDescent="0.25">
      <c r="A3" t="s">
        <v>1</v>
      </c>
      <c r="B3">
        <v>3.6900000000000002E-2</v>
      </c>
    </row>
    <row r="4" spans="1:2" x14ac:dyDescent="0.25">
      <c r="A4" t="s">
        <v>2</v>
      </c>
      <c r="B4">
        <v>7.7600000000000002E-2</v>
      </c>
    </row>
    <row r="5" spans="1:2" x14ac:dyDescent="0.25">
      <c r="A5" t="s">
        <v>3</v>
      </c>
      <c r="B5">
        <v>7.4399999999999994E-2</v>
      </c>
    </row>
    <row r="6" spans="1:2" x14ac:dyDescent="0.25">
      <c r="A6" t="s">
        <v>4</v>
      </c>
      <c r="B6">
        <v>0.76780000000000004</v>
      </c>
    </row>
    <row r="7" spans="1:2" x14ac:dyDescent="0.25">
      <c r="B7">
        <f>SUM(B2:B6)</f>
        <v>1.0004999999999999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29C9-9A8E-498E-98C9-49B6E2A56B74}">
  <dimension ref="A1:M22"/>
  <sheetViews>
    <sheetView workbookViewId="0">
      <selection activeCell="G1" sqref="G1:G10"/>
    </sheetView>
  </sheetViews>
  <sheetFormatPr defaultRowHeight="15" x14ac:dyDescent="0.25"/>
  <cols>
    <col min="1" max="1" width="15.42578125" customWidth="1"/>
    <col min="4" max="4" width="11.7109375" customWidth="1"/>
    <col min="5" max="5" width="13.85546875" customWidth="1"/>
    <col min="6" max="6" width="13.7109375" customWidth="1"/>
    <col min="7" max="7" width="16.7109375" customWidth="1"/>
    <col min="8" max="8" width="18.5703125" customWidth="1"/>
    <col min="9" max="9" width="8.85546875" customWidth="1"/>
  </cols>
  <sheetData>
    <row r="1" spans="1:13" ht="33.75" customHeight="1" x14ac:dyDescent="0.25">
      <c r="A1" s="2"/>
      <c r="B1" s="2" t="s">
        <v>14</v>
      </c>
      <c r="C1" s="2" t="s">
        <v>16</v>
      </c>
      <c r="D1" s="2" t="s">
        <v>17</v>
      </c>
      <c r="E1" s="3" t="s">
        <v>21</v>
      </c>
      <c r="F1" s="2" t="s">
        <v>19</v>
      </c>
      <c r="G1" s="2" t="s">
        <v>20</v>
      </c>
      <c r="H1" s="2" t="s">
        <v>22</v>
      </c>
      <c r="I1" s="2" t="s">
        <v>18</v>
      </c>
    </row>
    <row r="2" spans="1:13" x14ac:dyDescent="0.25">
      <c r="A2" t="s">
        <v>0</v>
      </c>
      <c r="B2">
        <v>4</v>
      </c>
      <c r="C2">
        <f>total!H2</f>
        <v>0.09</v>
      </c>
      <c r="D2">
        <v>1</v>
      </c>
      <c r="E2" s="1">
        <f>B2+D2</f>
        <v>5</v>
      </c>
      <c r="F2">
        <v>30000</v>
      </c>
      <c r="G2">
        <f>ROUNDUP(C2*F2/1000,0)</f>
        <v>3</v>
      </c>
      <c r="H2">
        <v>4</v>
      </c>
      <c r="I2">
        <f t="shared" ref="I2:I10" si="0">G2*H2-E2</f>
        <v>7</v>
      </c>
    </row>
    <row r="3" spans="1:13" x14ac:dyDescent="0.25">
      <c r="A3" t="s">
        <v>1</v>
      </c>
      <c r="B3">
        <v>5</v>
      </c>
      <c r="C3">
        <f>total!H3</f>
        <v>0.09</v>
      </c>
      <c r="D3">
        <v>1</v>
      </c>
      <c r="E3" s="1">
        <f t="shared" ref="E3:E10" si="1">B3+D3</f>
        <v>6</v>
      </c>
      <c r="F3">
        <v>30000</v>
      </c>
      <c r="G3">
        <f>ROUNDUP(C3*F3/1000,0)</f>
        <v>3</v>
      </c>
      <c r="H3">
        <v>4</v>
      </c>
      <c r="I3">
        <f t="shared" si="0"/>
        <v>6</v>
      </c>
    </row>
    <row r="4" spans="1:13" x14ac:dyDescent="0.25">
      <c r="A4" t="s">
        <v>2</v>
      </c>
      <c r="B4">
        <v>9</v>
      </c>
      <c r="C4">
        <f>total!H4</f>
        <v>0.19</v>
      </c>
      <c r="E4" s="1">
        <f t="shared" si="1"/>
        <v>9</v>
      </c>
      <c r="F4">
        <v>30000</v>
      </c>
      <c r="G4">
        <f>ROUNDUP(C4*F4/1000,0)</f>
        <v>6</v>
      </c>
      <c r="H4">
        <v>4</v>
      </c>
      <c r="I4">
        <f t="shared" si="0"/>
        <v>15</v>
      </c>
      <c r="M4">
        <f>SUM(I2:I6)</f>
        <v>180</v>
      </c>
    </row>
    <row r="5" spans="1:13" x14ac:dyDescent="0.25">
      <c r="A5" t="s">
        <v>3</v>
      </c>
      <c r="B5">
        <v>8</v>
      </c>
      <c r="C5">
        <f>total!H5</f>
        <v>0.24</v>
      </c>
      <c r="D5">
        <v>3</v>
      </c>
      <c r="E5" s="1">
        <f t="shared" si="1"/>
        <v>11</v>
      </c>
      <c r="F5">
        <v>30000</v>
      </c>
      <c r="G5">
        <f>ROUNDUP(C5*F5/1000,0)</f>
        <v>8</v>
      </c>
      <c r="H5">
        <v>4</v>
      </c>
      <c r="I5">
        <f t="shared" si="0"/>
        <v>21</v>
      </c>
    </row>
    <row r="6" spans="1:13" x14ac:dyDescent="0.25">
      <c r="A6" t="s">
        <v>4</v>
      </c>
      <c r="B6">
        <v>169</v>
      </c>
      <c r="C6">
        <f>total!H6</f>
        <v>2.5</v>
      </c>
      <c r="E6" s="1">
        <f t="shared" si="1"/>
        <v>169</v>
      </c>
      <c r="F6">
        <v>30000</v>
      </c>
      <c r="G6">
        <f>ROUNDUP(C6*F6/1000,0)</f>
        <v>75</v>
      </c>
      <c r="H6">
        <v>4</v>
      </c>
      <c r="I6">
        <f t="shared" si="0"/>
        <v>131</v>
      </c>
      <c r="K6">
        <f>(1100+540)*85</f>
        <v>139400</v>
      </c>
    </row>
    <row r="7" spans="1:13" x14ac:dyDescent="0.25">
      <c r="A7" t="s">
        <v>10</v>
      </c>
      <c r="B7">
        <v>100</v>
      </c>
      <c r="C7">
        <f>total!H7</f>
        <v>4</v>
      </c>
      <c r="D7">
        <v>120</v>
      </c>
      <c r="E7" s="1">
        <f t="shared" si="1"/>
        <v>220</v>
      </c>
      <c r="F7">
        <v>30000</v>
      </c>
      <c r="G7">
        <f>C7*F7/1000</f>
        <v>120</v>
      </c>
      <c r="H7">
        <v>4</v>
      </c>
      <c r="I7">
        <f t="shared" si="0"/>
        <v>260</v>
      </c>
      <c r="K7">
        <f>I7*8*85</f>
        <v>176800</v>
      </c>
    </row>
    <row r="8" spans="1:13" x14ac:dyDescent="0.25">
      <c r="A8" t="s">
        <v>11</v>
      </c>
      <c r="B8">
        <v>22</v>
      </c>
      <c r="C8">
        <f>total!H8</f>
        <v>1</v>
      </c>
      <c r="D8">
        <v>36</v>
      </c>
      <c r="E8" s="1">
        <f t="shared" si="1"/>
        <v>58</v>
      </c>
      <c r="F8">
        <v>30000</v>
      </c>
      <c r="G8">
        <f>C8*F8/1000</f>
        <v>30</v>
      </c>
      <c r="H8">
        <v>4</v>
      </c>
      <c r="I8">
        <f t="shared" si="0"/>
        <v>62</v>
      </c>
      <c r="K8">
        <f>I8*3800</f>
        <v>235600</v>
      </c>
      <c r="L8">
        <f>SUM(K6:K8)</f>
        <v>551800</v>
      </c>
    </row>
    <row r="9" spans="1:13" x14ac:dyDescent="0.25">
      <c r="A9" t="s">
        <v>12</v>
      </c>
      <c r="B9">
        <v>25</v>
      </c>
      <c r="C9">
        <f>total!H9</f>
        <v>0.25</v>
      </c>
      <c r="E9" s="1">
        <f t="shared" si="1"/>
        <v>25</v>
      </c>
      <c r="F9">
        <v>30000</v>
      </c>
      <c r="G9">
        <f>C9*F9/1000</f>
        <v>7.5</v>
      </c>
      <c r="H9">
        <v>4</v>
      </c>
      <c r="I9">
        <f t="shared" si="0"/>
        <v>5</v>
      </c>
    </row>
    <row r="10" spans="1:13" x14ac:dyDescent="0.25">
      <c r="A10" t="s">
        <v>13</v>
      </c>
      <c r="B10">
        <v>1</v>
      </c>
      <c r="C10">
        <f>total!H10</f>
        <v>0.25</v>
      </c>
      <c r="E10" s="1">
        <f t="shared" si="1"/>
        <v>1</v>
      </c>
      <c r="F10">
        <v>30000</v>
      </c>
      <c r="G10">
        <f>C10*F10/1000</f>
        <v>7.5</v>
      </c>
      <c r="H10">
        <v>4</v>
      </c>
      <c r="I10">
        <f t="shared" si="0"/>
        <v>29</v>
      </c>
    </row>
    <row r="22" spans="1:1" x14ac:dyDescent="0.25">
      <c r="A22">
        <f>62*3800</f>
        <v>235600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FFBB-2BA0-4D25-94B6-08B45A9708D1}">
  <dimension ref="A1:S20"/>
  <sheetViews>
    <sheetView workbookViewId="0">
      <selection activeCell="G29" sqref="G29"/>
    </sheetView>
  </sheetViews>
  <sheetFormatPr defaultRowHeight="15" x14ac:dyDescent="0.25"/>
  <cols>
    <col min="1" max="1" width="28.42578125" customWidth="1"/>
    <col min="4" max="4" width="17.140625" customWidth="1"/>
    <col min="5" max="5" width="10.7109375" customWidth="1"/>
    <col min="6" max="6" width="15.7109375" customWidth="1"/>
    <col min="7" max="7" width="15.5703125" customWidth="1"/>
    <col min="17" max="17" width="10.85546875" customWidth="1"/>
    <col min="18" max="18" width="12.28515625" customWidth="1"/>
    <col min="19" max="19" width="11.28515625" customWidth="1"/>
  </cols>
  <sheetData>
    <row r="1" spans="1:19" ht="18.75" customHeight="1" x14ac:dyDescent="0.25">
      <c r="A1" s="4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9" x14ac:dyDescent="0.25">
      <c r="A2" s="5">
        <v>24000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ht="45" x14ac:dyDescent="0.25">
      <c r="A3" s="9" t="s">
        <v>23</v>
      </c>
      <c r="B3" s="9" t="s">
        <v>16</v>
      </c>
      <c r="C3" s="9" t="s">
        <v>14</v>
      </c>
      <c r="D3" s="10" t="s">
        <v>46</v>
      </c>
      <c r="E3" s="11" t="s">
        <v>21</v>
      </c>
      <c r="F3" s="4" t="s">
        <v>19</v>
      </c>
      <c r="G3" s="4" t="s">
        <v>20</v>
      </c>
      <c r="H3" s="5" t="s">
        <v>27</v>
      </c>
      <c r="I3" s="5" t="s">
        <v>30</v>
      </c>
      <c r="J3" s="5"/>
      <c r="K3" s="5"/>
      <c r="L3" s="14" t="s">
        <v>39</v>
      </c>
      <c r="M3" s="5"/>
    </row>
    <row r="4" spans="1:19" x14ac:dyDescent="0.25">
      <c r="A4" s="1" t="s">
        <v>0</v>
      </c>
      <c r="B4" s="5">
        <v>0.09</v>
      </c>
      <c r="C4" s="5">
        <v>12</v>
      </c>
      <c r="D4" s="6">
        <v>8</v>
      </c>
      <c r="E4" s="1">
        <f>C4+D4</f>
        <v>20</v>
      </c>
      <c r="F4" s="5">
        <f>A2</f>
        <v>24000</v>
      </c>
      <c r="G4" s="5">
        <f t="shared" ref="G4:G18" si="0">ROUNDUP(B4*F4/1000,0)</f>
        <v>3</v>
      </c>
      <c r="H4" s="5">
        <f t="shared" ref="H4:H12" si="1">ROUNDUP(E4/G4,1)</f>
        <v>6.6999999999999993</v>
      </c>
      <c r="I4" s="5">
        <v>2</v>
      </c>
      <c r="J4" s="5">
        <f>G4*I4</f>
        <v>6</v>
      </c>
      <c r="K4" s="5"/>
      <c r="L4" s="5"/>
      <c r="M4" s="5"/>
    </row>
    <row r="5" spans="1:19" x14ac:dyDescent="0.25">
      <c r="A5" s="1" t="s">
        <v>1</v>
      </c>
      <c r="B5" s="5">
        <v>0.09</v>
      </c>
      <c r="C5" s="5">
        <v>6</v>
      </c>
      <c r="D5" s="6">
        <v>8</v>
      </c>
      <c r="E5" s="1">
        <f t="shared" ref="E5:E18" si="2">SUM(C5:D5)</f>
        <v>14</v>
      </c>
      <c r="F5" s="5">
        <f>A2</f>
        <v>24000</v>
      </c>
      <c r="G5" s="5">
        <f t="shared" si="0"/>
        <v>3</v>
      </c>
      <c r="H5" s="5">
        <f t="shared" si="1"/>
        <v>4.6999999999999993</v>
      </c>
      <c r="I5" s="5">
        <v>2</v>
      </c>
      <c r="J5" s="5">
        <f t="shared" ref="J5:J12" si="3">G5*I5</f>
        <v>6</v>
      </c>
      <c r="K5" s="5"/>
      <c r="L5" s="5"/>
      <c r="M5" s="5"/>
    </row>
    <row r="6" spans="1:19" x14ac:dyDescent="0.25">
      <c r="A6" s="1" t="s">
        <v>2</v>
      </c>
      <c r="B6" s="5">
        <v>0.19</v>
      </c>
      <c r="C6" s="5">
        <v>24</v>
      </c>
      <c r="D6" s="6">
        <v>10</v>
      </c>
      <c r="E6" s="1">
        <f t="shared" si="2"/>
        <v>34</v>
      </c>
      <c r="F6" s="5">
        <f>A2</f>
        <v>24000</v>
      </c>
      <c r="G6" s="5">
        <f t="shared" si="0"/>
        <v>5</v>
      </c>
      <c r="H6" s="5">
        <f t="shared" si="1"/>
        <v>6.8</v>
      </c>
      <c r="I6" s="5">
        <v>2</v>
      </c>
      <c r="J6" s="5">
        <f t="shared" si="3"/>
        <v>10</v>
      </c>
      <c r="K6" s="5"/>
      <c r="L6" s="5"/>
      <c r="M6" s="5"/>
    </row>
    <row r="7" spans="1:19" x14ac:dyDescent="0.25">
      <c r="A7" s="1" t="s">
        <v>3</v>
      </c>
      <c r="B7" s="5">
        <v>0.24</v>
      </c>
      <c r="C7" s="5">
        <v>35</v>
      </c>
      <c r="D7" s="6">
        <v>8</v>
      </c>
      <c r="E7" s="1">
        <f t="shared" si="2"/>
        <v>43</v>
      </c>
      <c r="F7" s="5">
        <f>A2</f>
        <v>24000</v>
      </c>
      <c r="G7" s="5">
        <f t="shared" si="0"/>
        <v>6</v>
      </c>
      <c r="H7" s="5">
        <f t="shared" si="1"/>
        <v>7.1999999999999993</v>
      </c>
      <c r="I7" s="5">
        <v>2</v>
      </c>
      <c r="J7" s="5">
        <f t="shared" si="3"/>
        <v>12</v>
      </c>
      <c r="K7" s="5"/>
      <c r="L7" s="5"/>
      <c r="M7" s="5"/>
      <c r="Q7">
        <v>1688</v>
      </c>
      <c r="R7" t="s">
        <v>40</v>
      </c>
      <c r="S7" t="s">
        <v>41</v>
      </c>
    </row>
    <row r="8" spans="1:19" x14ac:dyDescent="0.25">
      <c r="A8" s="1" t="s">
        <v>4</v>
      </c>
      <c r="B8" s="5">
        <v>2.6</v>
      </c>
      <c r="C8" s="5">
        <v>280</v>
      </c>
      <c r="D8" s="6">
        <v>126</v>
      </c>
      <c r="E8" s="1">
        <f t="shared" si="2"/>
        <v>406</v>
      </c>
      <c r="F8" s="5">
        <f>A2</f>
        <v>24000</v>
      </c>
      <c r="G8" s="5">
        <f t="shared" si="0"/>
        <v>63</v>
      </c>
      <c r="H8" s="5">
        <f t="shared" si="1"/>
        <v>6.5</v>
      </c>
      <c r="I8" s="5">
        <v>2</v>
      </c>
      <c r="J8" s="5">
        <f t="shared" si="3"/>
        <v>126</v>
      </c>
      <c r="K8" s="5">
        <f>SUM(J4:J8)</f>
        <v>160</v>
      </c>
      <c r="L8" s="5">
        <f>K8*22+K8*3.2*90+950*90</f>
        <v>135100</v>
      </c>
      <c r="M8" s="5">
        <f>L8*2</f>
        <v>270200</v>
      </c>
      <c r="O8">
        <f>950+J9*5</f>
        <v>1910</v>
      </c>
    </row>
    <row r="9" spans="1:19" x14ac:dyDescent="0.25">
      <c r="A9" s="15" t="s">
        <v>10</v>
      </c>
      <c r="B9" s="5">
        <v>4</v>
      </c>
      <c r="C9" s="5">
        <v>510</v>
      </c>
      <c r="D9" s="19">
        <v>190</v>
      </c>
      <c r="E9" s="1">
        <f t="shared" si="2"/>
        <v>700</v>
      </c>
      <c r="F9" s="5">
        <f>A2</f>
        <v>24000</v>
      </c>
      <c r="G9" s="5">
        <f t="shared" si="0"/>
        <v>96</v>
      </c>
      <c r="H9" s="5">
        <f t="shared" si="1"/>
        <v>7.3</v>
      </c>
      <c r="I9" s="5">
        <v>2</v>
      </c>
      <c r="J9" s="5">
        <f t="shared" si="3"/>
        <v>192</v>
      </c>
      <c r="K9" s="5"/>
      <c r="L9" s="5">
        <f>J9*3.2*90+J9*22</f>
        <v>59520.000000000007</v>
      </c>
      <c r="M9" s="5">
        <f>L9*2</f>
        <v>119040.00000000001</v>
      </c>
      <c r="Q9">
        <f>(3.48+3.2)*90+22</f>
        <v>623.19999999999993</v>
      </c>
      <c r="R9">
        <f>8.2*90+1*22</f>
        <v>759.99999999999989</v>
      </c>
      <c r="S9">
        <v>930</v>
      </c>
    </row>
    <row r="10" spans="1:19" x14ac:dyDescent="0.25">
      <c r="A10" s="16" t="s">
        <v>11</v>
      </c>
      <c r="B10" s="5">
        <v>1</v>
      </c>
      <c r="C10" s="5">
        <v>58</v>
      </c>
      <c r="D10" s="6">
        <v>100</v>
      </c>
      <c r="E10" s="1">
        <f t="shared" si="2"/>
        <v>158</v>
      </c>
      <c r="F10" s="5">
        <f>A2</f>
        <v>24000</v>
      </c>
      <c r="G10" s="5">
        <f t="shared" si="0"/>
        <v>24</v>
      </c>
      <c r="H10" s="5">
        <f t="shared" si="1"/>
        <v>6.6</v>
      </c>
      <c r="I10" s="5">
        <v>2</v>
      </c>
      <c r="J10" s="5">
        <f t="shared" si="3"/>
        <v>48</v>
      </c>
      <c r="K10" s="5"/>
      <c r="L10" s="5">
        <f>J10*3800+J10*22</f>
        <v>183456</v>
      </c>
      <c r="M10" s="5">
        <f>100*3600+100*22</f>
        <v>362200</v>
      </c>
      <c r="P10" s="5">
        <v>192</v>
      </c>
      <c r="Q10">
        <f>Q9*P10</f>
        <v>119654.39999999999</v>
      </c>
      <c r="R10">
        <f>R9*P10</f>
        <v>145919.99999999997</v>
      </c>
      <c r="S10">
        <f>S9*P10</f>
        <v>178560</v>
      </c>
    </row>
    <row r="11" spans="1:19" x14ac:dyDescent="0.25">
      <c r="A11" s="15" t="s">
        <v>12</v>
      </c>
      <c r="B11" s="5">
        <v>0.25</v>
      </c>
      <c r="C11" s="5">
        <v>25</v>
      </c>
      <c r="D11" s="7"/>
      <c r="E11" s="1">
        <f t="shared" si="2"/>
        <v>25</v>
      </c>
      <c r="F11" s="5">
        <f>A2</f>
        <v>24000</v>
      </c>
      <c r="G11" s="5">
        <f t="shared" si="0"/>
        <v>6</v>
      </c>
      <c r="H11" s="5">
        <f t="shared" si="1"/>
        <v>4.1999999999999993</v>
      </c>
      <c r="I11" s="5">
        <v>2</v>
      </c>
      <c r="J11" s="5">
        <f t="shared" si="3"/>
        <v>12</v>
      </c>
      <c r="K11" s="5"/>
      <c r="L11" s="18">
        <f>SUM(L8:L10)</f>
        <v>378076</v>
      </c>
      <c r="M11" s="18">
        <f>SUM(M8:M10)</f>
        <v>751440</v>
      </c>
    </row>
    <row r="12" spans="1:19" x14ac:dyDescent="0.25">
      <c r="A12" s="5" t="s">
        <v>13</v>
      </c>
      <c r="B12" s="5">
        <v>0.25</v>
      </c>
      <c r="C12" s="5">
        <v>2</v>
      </c>
      <c r="D12" s="7"/>
      <c r="E12" s="1">
        <f t="shared" si="2"/>
        <v>2</v>
      </c>
      <c r="F12" s="5">
        <f>A2</f>
        <v>24000</v>
      </c>
      <c r="G12" s="5">
        <f t="shared" si="0"/>
        <v>6</v>
      </c>
      <c r="H12" s="5">
        <f t="shared" si="1"/>
        <v>0.4</v>
      </c>
      <c r="I12" s="5">
        <v>2</v>
      </c>
      <c r="J12" s="5">
        <f t="shared" si="3"/>
        <v>12</v>
      </c>
      <c r="K12" s="5"/>
      <c r="L12" s="5"/>
      <c r="M12" s="5"/>
    </row>
    <row r="13" spans="1:19" x14ac:dyDescent="0.25">
      <c r="A13" s="12" t="s">
        <v>24</v>
      </c>
      <c r="B13" s="5"/>
      <c r="C13" s="5"/>
      <c r="D13" s="5"/>
      <c r="E13" s="1">
        <f t="shared" si="2"/>
        <v>0</v>
      </c>
      <c r="F13" s="5"/>
      <c r="G13" s="5">
        <f t="shared" si="0"/>
        <v>0</v>
      </c>
      <c r="H13" s="5"/>
      <c r="I13" s="5"/>
      <c r="J13" s="5"/>
      <c r="K13" s="5"/>
      <c r="L13" s="5"/>
      <c r="M13" s="5"/>
    </row>
    <row r="14" spans="1:19" x14ac:dyDescent="0.25">
      <c r="A14" s="12" t="s">
        <v>28</v>
      </c>
      <c r="B14" s="5"/>
      <c r="C14" s="5"/>
      <c r="D14" s="5"/>
      <c r="E14" s="1">
        <f t="shared" si="2"/>
        <v>0</v>
      </c>
      <c r="F14" s="5"/>
      <c r="G14" s="5">
        <f t="shared" si="0"/>
        <v>0</v>
      </c>
      <c r="H14" s="5"/>
      <c r="I14" s="5"/>
      <c r="J14" s="5"/>
      <c r="K14" s="5"/>
      <c r="L14" s="5"/>
      <c r="M14" s="5"/>
    </row>
    <row r="15" spans="1:19" x14ac:dyDescent="0.25">
      <c r="A15" s="12" t="s">
        <v>29</v>
      </c>
      <c r="B15" s="5"/>
      <c r="C15" s="5"/>
      <c r="D15" s="5"/>
      <c r="E15" s="1">
        <f t="shared" si="2"/>
        <v>0</v>
      </c>
      <c r="F15" s="5"/>
      <c r="G15" s="5">
        <f t="shared" si="0"/>
        <v>0</v>
      </c>
      <c r="H15" s="5"/>
      <c r="I15" s="5"/>
      <c r="J15" s="5"/>
      <c r="K15" s="5"/>
      <c r="L15" s="5"/>
      <c r="M15" s="5"/>
    </row>
    <row r="16" spans="1:19" x14ac:dyDescent="0.25">
      <c r="A16" s="12" t="s">
        <v>25</v>
      </c>
      <c r="B16" s="5">
        <f>A2*0.75/24</f>
        <v>750</v>
      </c>
      <c r="C16" s="5">
        <v>25000</v>
      </c>
      <c r="D16" s="5"/>
      <c r="E16" s="1">
        <f t="shared" si="2"/>
        <v>25000</v>
      </c>
      <c r="F16" s="5">
        <f>A2</f>
        <v>24000</v>
      </c>
      <c r="G16" s="5">
        <f t="shared" si="0"/>
        <v>18000</v>
      </c>
      <c r="H16" s="5">
        <f t="shared" ref="H16:H17" si="4">ROUNDUP(E16/G16,1)</f>
        <v>1.4000000000000001</v>
      </c>
      <c r="I16" s="5"/>
      <c r="J16" s="5"/>
      <c r="K16" s="5"/>
      <c r="L16" s="5"/>
      <c r="M16" s="5"/>
    </row>
    <row r="17" spans="1:13" x14ac:dyDescent="0.25">
      <c r="A17" s="12" t="s">
        <v>26</v>
      </c>
      <c r="B17" s="5">
        <f>A2*0.25/24</f>
        <v>250</v>
      </c>
      <c r="C17" s="5">
        <v>50000</v>
      </c>
      <c r="D17" s="5"/>
      <c r="E17" s="1">
        <f t="shared" si="2"/>
        <v>50000</v>
      </c>
      <c r="F17" s="5">
        <f>A2</f>
        <v>24000</v>
      </c>
      <c r="G17" s="5">
        <f t="shared" si="0"/>
        <v>6000</v>
      </c>
      <c r="H17" s="5">
        <f t="shared" si="4"/>
        <v>8.4</v>
      </c>
      <c r="I17" s="5"/>
      <c r="J17" s="5"/>
      <c r="K17" s="5"/>
      <c r="L17" s="5"/>
      <c r="M17" s="5"/>
    </row>
    <row r="18" spans="1:13" x14ac:dyDescent="0.25">
      <c r="A18" s="17" t="s">
        <v>45</v>
      </c>
      <c r="B18">
        <v>17.850000000000001</v>
      </c>
      <c r="C18">
        <v>610</v>
      </c>
      <c r="D18">
        <v>240</v>
      </c>
      <c r="E18" s="1">
        <f t="shared" si="2"/>
        <v>850</v>
      </c>
      <c r="F18" s="5">
        <f>A2</f>
        <v>24000</v>
      </c>
      <c r="G18" s="5">
        <f t="shared" si="0"/>
        <v>429</v>
      </c>
      <c r="H18" s="5">
        <f>ROUNDUP(E18/G18,1)</f>
        <v>2</v>
      </c>
      <c r="I18" s="5">
        <v>2</v>
      </c>
      <c r="J18" s="5">
        <f>G18*I18</f>
        <v>858</v>
      </c>
    </row>
    <row r="19" spans="1:13" x14ac:dyDescent="0.25">
      <c r="A19" s="17" t="s">
        <v>43</v>
      </c>
    </row>
    <row r="20" spans="1:13" x14ac:dyDescent="0.25">
      <c r="A20" s="17" t="s">
        <v>44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029B-C63C-4A64-A725-3A53AEEACEF2}">
  <dimension ref="A1:S20"/>
  <sheetViews>
    <sheetView tabSelected="1" workbookViewId="0">
      <selection activeCell="K9" sqref="K9"/>
    </sheetView>
  </sheetViews>
  <sheetFormatPr defaultRowHeight="15" x14ac:dyDescent="0.25"/>
  <cols>
    <col min="1" max="1" width="33.28515625" customWidth="1"/>
    <col min="4" max="4" width="15.140625" customWidth="1"/>
    <col min="8" max="8" width="14" customWidth="1"/>
    <col min="9" max="9" width="21.42578125" customWidth="1"/>
    <col min="10" max="10" width="13.140625" customWidth="1"/>
  </cols>
  <sheetData>
    <row r="1" spans="1:19" x14ac:dyDescent="0.25">
      <c r="A1" s="4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9" x14ac:dyDescent="0.25">
      <c r="A2" s="5">
        <v>24000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ht="60" x14ac:dyDescent="0.25">
      <c r="A3" s="9" t="s">
        <v>23</v>
      </c>
      <c r="B3" s="9" t="s">
        <v>16</v>
      </c>
      <c r="C3" s="9" t="s">
        <v>14</v>
      </c>
      <c r="D3" s="24">
        <v>46301</v>
      </c>
      <c r="E3" s="11" t="s">
        <v>21</v>
      </c>
      <c r="F3" s="4" t="s">
        <v>19</v>
      </c>
      <c r="G3" s="4" t="s">
        <v>20</v>
      </c>
      <c r="H3" s="5" t="s">
        <v>27</v>
      </c>
      <c r="I3" s="5" t="s">
        <v>30</v>
      </c>
      <c r="J3" s="5"/>
      <c r="K3" s="5"/>
      <c r="L3" s="14" t="s">
        <v>39</v>
      </c>
      <c r="M3" s="5"/>
    </row>
    <row r="4" spans="1:19" x14ac:dyDescent="0.25">
      <c r="A4" s="1" t="s">
        <v>0</v>
      </c>
      <c r="B4" s="5">
        <v>0.09</v>
      </c>
      <c r="C4" s="5">
        <v>0</v>
      </c>
      <c r="D4" s="6">
        <v>17</v>
      </c>
      <c r="E4" s="1">
        <f>C4+D4</f>
        <v>17</v>
      </c>
      <c r="F4" s="5">
        <f>A2</f>
        <v>24000</v>
      </c>
      <c r="G4" s="5">
        <f t="shared" ref="G4:G18" si="0">ROUNDUP(B4*F4/1000,0)</f>
        <v>3</v>
      </c>
      <c r="H4" s="5">
        <f t="shared" ref="H4:H12" si="1">ROUNDUP(E4/G4,1)</f>
        <v>5.6999999999999993</v>
      </c>
      <c r="I4" s="5">
        <v>0</v>
      </c>
      <c r="J4" s="5">
        <f>G4*I4</f>
        <v>0</v>
      </c>
      <c r="K4" s="5"/>
      <c r="L4" s="5"/>
      <c r="M4" s="5"/>
    </row>
    <row r="5" spans="1:19" x14ac:dyDescent="0.25">
      <c r="A5" s="1" t="s">
        <v>1</v>
      </c>
      <c r="B5" s="5">
        <v>0.09</v>
      </c>
      <c r="C5" s="5">
        <v>0</v>
      </c>
      <c r="D5" s="6">
        <v>16</v>
      </c>
      <c r="E5" s="1">
        <f t="shared" ref="E5:E18" si="2">SUM(C5:D5)</f>
        <v>16</v>
      </c>
      <c r="F5" s="5">
        <f>A2</f>
        <v>24000</v>
      </c>
      <c r="G5" s="5">
        <f t="shared" si="0"/>
        <v>3</v>
      </c>
      <c r="H5" s="5">
        <f t="shared" si="1"/>
        <v>5.3999999999999995</v>
      </c>
      <c r="I5" s="5">
        <v>0</v>
      </c>
      <c r="J5" s="5">
        <f t="shared" ref="J5:J12" si="3">G5*I5</f>
        <v>0</v>
      </c>
      <c r="K5" s="5"/>
      <c r="L5" s="5"/>
      <c r="M5" s="5"/>
    </row>
    <row r="6" spans="1:19" x14ac:dyDescent="0.25">
      <c r="A6" s="1" t="s">
        <v>2</v>
      </c>
      <c r="B6" s="5">
        <v>0.19</v>
      </c>
      <c r="C6" s="5">
        <v>0</v>
      </c>
      <c r="D6" s="6">
        <v>28</v>
      </c>
      <c r="E6" s="1">
        <f t="shared" si="2"/>
        <v>28</v>
      </c>
      <c r="F6" s="5">
        <f>A2</f>
        <v>24000</v>
      </c>
      <c r="G6" s="5">
        <f t="shared" si="0"/>
        <v>5</v>
      </c>
      <c r="H6" s="5">
        <f t="shared" si="1"/>
        <v>5.6</v>
      </c>
      <c r="I6" s="5">
        <v>0</v>
      </c>
      <c r="J6" s="5">
        <f t="shared" si="3"/>
        <v>0</v>
      </c>
      <c r="K6" s="5"/>
      <c r="L6" s="5"/>
      <c r="M6" s="5"/>
    </row>
    <row r="7" spans="1:19" x14ac:dyDescent="0.25">
      <c r="A7" s="1" t="s">
        <v>3</v>
      </c>
      <c r="B7" s="5">
        <v>0.24</v>
      </c>
      <c r="C7" s="5">
        <v>0</v>
      </c>
      <c r="D7" s="6">
        <v>36</v>
      </c>
      <c r="E7" s="1">
        <f t="shared" si="2"/>
        <v>36</v>
      </c>
      <c r="F7" s="5">
        <f>A2</f>
        <v>24000</v>
      </c>
      <c r="G7" s="5">
        <f t="shared" si="0"/>
        <v>6</v>
      </c>
      <c r="H7" s="5">
        <f t="shared" si="1"/>
        <v>6</v>
      </c>
      <c r="I7" s="5">
        <v>0</v>
      </c>
      <c r="J7" s="5">
        <f t="shared" si="3"/>
        <v>0</v>
      </c>
      <c r="K7" s="5"/>
      <c r="L7" s="5"/>
      <c r="M7" s="5"/>
      <c r="Q7">
        <v>1688</v>
      </c>
      <c r="R7" t="s">
        <v>40</v>
      </c>
      <c r="S7" t="s">
        <v>41</v>
      </c>
    </row>
    <row r="8" spans="1:19" x14ac:dyDescent="0.25">
      <c r="A8" s="1" t="s">
        <v>4</v>
      </c>
      <c r="B8" s="5">
        <v>2.6</v>
      </c>
      <c r="C8" s="5">
        <v>0</v>
      </c>
      <c r="D8" s="6">
        <v>220</v>
      </c>
      <c r="E8" s="1">
        <f t="shared" si="2"/>
        <v>220</v>
      </c>
      <c r="F8" s="5">
        <f>A2</f>
        <v>24000</v>
      </c>
      <c r="G8" s="5">
        <f t="shared" si="0"/>
        <v>63</v>
      </c>
      <c r="H8" s="5">
        <f t="shared" si="1"/>
        <v>3.5</v>
      </c>
      <c r="I8" s="5">
        <v>2.5</v>
      </c>
      <c r="J8" s="5">
        <f t="shared" si="3"/>
        <v>157.5</v>
      </c>
      <c r="K8" s="5">
        <f>SUM(J4:J8)</f>
        <v>157.5</v>
      </c>
      <c r="L8" s="5"/>
      <c r="M8" s="5">
        <f>K8*22+K8*3.2*90+950*90</f>
        <v>134325</v>
      </c>
      <c r="O8">
        <f>950+J9*5</f>
        <v>1430</v>
      </c>
    </row>
    <row r="9" spans="1:19" x14ac:dyDescent="0.25">
      <c r="A9" s="15" t="s">
        <v>10</v>
      </c>
      <c r="B9" s="5">
        <v>4</v>
      </c>
      <c r="C9" s="5">
        <v>0</v>
      </c>
      <c r="D9" s="6">
        <v>470</v>
      </c>
      <c r="E9" s="1">
        <f t="shared" si="2"/>
        <v>470</v>
      </c>
      <c r="F9" s="5">
        <f>A2</f>
        <v>24000</v>
      </c>
      <c r="G9" s="5">
        <f t="shared" si="0"/>
        <v>96</v>
      </c>
      <c r="H9" s="5">
        <f t="shared" si="1"/>
        <v>4.8999999999999995</v>
      </c>
      <c r="I9" s="5">
        <v>1</v>
      </c>
      <c r="J9" s="5">
        <f t="shared" si="3"/>
        <v>96</v>
      </c>
      <c r="K9" s="5"/>
      <c r="L9" s="5"/>
      <c r="M9" s="5">
        <f>J9*3.2*90+J9*22</f>
        <v>29760.000000000004</v>
      </c>
      <c r="Q9">
        <f>(3.48+3.2)*90+22</f>
        <v>623.19999999999993</v>
      </c>
      <c r="R9">
        <f>8.2*90+1*22</f>
        <v>759.99999999999989</v>
      </c>
      <c r="S9">
        <v>930</v>
      </c>
    </row>
    <row r="10" spans="1:19" x14ac:dyDescent="0.25">
      <c r="A10" s="16" t="s">
        <v>11</v>
      </c>
      <c r="B10" s="5">
        <v>1</v>
      </c>
      <c r="C10" s="5">
        <v>0</v>
      </c>
      <c r="D10" s="6">
        <v>86</v>
      </c>
      <c r="E10" s="1">
        <f t="shared" si="2"/>
        <v>86</v>
      </c>
      <c r="F10" s="5">
        <f>A2</f>
        <v>24000</v>
      </c>
      <c r="G10" s="5">
        <f t="shared" si="0"/>
        <v>24</v>
      </c>
      <c r="H10" s="5">
        <f t="shared" si="1"/>
        <v>3.6</v>
      </c>
      <c r="I10" s="5">
        <v>2.4</v>
      </c>
      <c r="J10" s="5">
        <f t="shared" si="3"/>
        <v>57.599999999999994</v>
      </c>
      <c r="K10" s="5"/>
      <c r="L10" s="5"/>
      <c r="M10" s="5">
        <f>J10*3800+J10*22</f>
        <v>220147.19999999998</v>
      </c>
      <c r="P10" s="5">
        <v>192</v>
      </c>
      <c r="Q10">
        <f>Q9*P10</f>
        <v>119654.39999999999</v>
      </c>
      <c r="R10">
        <f>R9*P10</f>
        <v>145919.99999999997</v>
      </c>
      <c r="S10">
        <f>S9*P10</f>
        <v>178560</v>
      </c>
    </row>
    <row r="11" spans="1:19" x14ac:dyDescent="0.25">
      <c r="A11" s="15" t="s">
        <v>12</v>
      </c>
      <c r="B11" s="5">
        <v>0.25</v>
      </c>
      <c r="C11" s="5">
        <v>0</v>
      </c>
      <c r="D11" s="7">
        <v>18</v>
      </c>
      <c r="E11" s="1">
        <f t="shared" si="2"/>
        <v>18</v>
      </c>
      <c r="F11" s="5">
        <f>A2</f>
        <v>24000</v>
      </c>
      <c r="G11" s="5">
        <f t="shared" si="0"/>
        <v>6</v>
      </c>
      <c r="H11" s="5">
        <f t="shared" si="1"/>
        <v>3</v>
      </c>
      <c r="I11" s="5">
        <v>3</v>
      </c>
      <c r="J11" s="5">
        <f t="shared" si="3"/>
        <v>18</v>
      </c>
      <c r="K11" s="5"/>
      <c r="L11" s="5"/>
      <c r="M11" s="5"/>
    </row>
    <row r="12" spans="1:19" x14ac:dyDescent="0.25">
      <c r="A12" s="5" t="s">
        <v>13</v>
      </c>
      <c r="B12" s="5">
        <v>0.25</v>
      </c>
      <c r="C12" s="5">
        <v>0</v>
      </c>
      <c r="D12" s="7"/>
      <c r="E12" s="1">
        <f t="shared" si="2"/>
        <v>0</v>
      </c>
      <c r="F12" s="5">
        <f>A2</f>
        <v>24000</v>
      </c>
      <c r="G12" s="5">
        <f t="shared" si="0"/>
        <v>6</v>
      </c>
      <c r="H12" s="5">
        <f t="shared" si="1"/>
        <v>0</v>
      </c>
      <c r="I12" s="5">
        <v>2</v>
      </c>
      <c r="J12" s="5">
        <f t="shared" si="3"/>
        <v>12</v>
      </c>
      <c r="K12" s="5"/>
      <c r="L12" s="5"/>
      <c r="M12" s="5"/>
    </row>
    <row r="13" spans="1:19" x14ac:dyDescent="0.25">
      <c r="A13" s="12" t="s">
        <v>24</v>
      </c>
      <c r="B13" s="5"/>
      <c r="C13" s="5"/>
      <c r="D13" s="5"/>
      <c r="E13" s="1">
        <f t="shared" si="2"/>
        <v>0</v>
      </c>
      <c r="F13" s="5"/>
      <c r="G13" s="5">
        <f t="shared" si="0"/>
        <v>0</v>
      </c>
      <c r="H13" s="5"/>
      <c r="I13" s="5"/>
      <c r="J13" s="5"/>
      <c r="K13" s="5"/>
      <c r="L13" s="5"/>
      <c r="M13" s="5"/>
    </row>
    <row r="14" spans="1:19" x14ac:dyDescent="0.25">
      <c r="A14" s="12" t="s">
        <v>28</v>
      </c>
      <c r="B14" s="5"/>
      <c r="C14" s="5"/>
      <c r="D14" s="5"/>
      <c r="E14" s="1">
        <f t="shared" si="2"/>
        <v>0</v>
      </c>
      <c r="F14" s="5"/>
      <c r="G14" s="5">
        <f t="shared" si="0"/>
        <v>0</v>
      </c>
      <c r="H14" s="5"/>
      <c r="I14" s="5"/>
      <c r="J14" s="5"/>
      <c r="K14" s="5"/>
      <c r="L14" s="5"/>
      <c r="M14" s="5"/>
    </row>
    <row r="15" spans="1:19" x14ac:dyDescent="0.25">
      <c r="A15" s="12" t="s">
        <v>29</v>
      </c>
      <c r="B15" s="5"/>
      <c r="C15" s="5"/>
      <c r="D15" s="5"/>
      <c r="E15" s="1">
        <f t="shared" si="2"/>
        <v>0</v>
      </c>
      <c r="F15" s="5"/>
      <c r="G15" s="5">
        <f t="shared" si="0"/>
        <v>0</v>
      </c>
      <c r="H15" s="5"/>
      <c r="I15" s="5"/>
      <c r="J15" s="5"/>
      <c r="K15" s="5"/>
      <c r="L15" s="5"/>
      <c r="M15" s="5"/>
    </row>
    <row r="16" spans="1:19" x14ac:dyDescent="0.25">
      <c r="A16" s="12" t="s">
        <v>25</v>
      </c>
      <c r="B16" s="5">
        <f>A2*0.75/24</f>
        <v>750</v>
      </c>
      <c r="C16" s="5">
        <v>25000</v>
      </c>
      <c r="D16" s="5"/>
      <c r="E16" s="1">
        <f t="shared" si="2"/>
        <v>25000</v>
      </c>
      <c r="F16" s="5">
        <f>A2</f>
        <v>24000</v>
      </c>
      <c r="G16" s="5">
        <f t="shared" si="0"/>
        <v>18000</v>
      </c>
      <c r="H16" s="5">
        <f t="shared" ref="H16:H17" si="4">ROUNDUP(E16/G16,1)</f>
        <v>1.4000000000000001</v>
      </c>
      <c r="I16" s="5"/>
      <c r="J16" s="5"/>
      <c r="K16" s="5"/>
      <c r="L16" s="5"/>
      <c r="M16" s="5"/>
    </row>
    <row r="17" spans="1:13" x14ac:dyDescent="0.25">
      <c r="A17" s="12" t="s">
        <v>26</v>
      </c>
      <c r="B17" s="5">
        <f>A2*0.25/24</f>
        <v>250</v>
      </c>
      <c r="C17" s="5">
        <v>50000</v>
      </c>
      <c r="D17" s="5"/>
      <c r="E17" s="1">
        <f t="shared" si="2"/>
        <v>50000</v>
      </c>
      <c r="F17" s="5">
        <f>A2</f>
        <v>24000</v>
      </c>
      <c r="G17" s="5">
        <f t="shared" si="0"/>
        <v>6000</v>
      </c>
      <c r="H17" s="5">
        <f t="shared" si="4"/>
        <v>8.4</v>
      </c>
      <c r="I17" s="5"/>
      <c r="J17" s="5"/>
      <c r="K17" s="5"/>
      <c r="L17" s="5"/>
      <c r="M17" s="5"/>
    </row>
    <row r="18" spans="1:13" x14ac:dyDescent="0.25">
      <c r="A18" s="12" t="s">
        <v>45</v>
      </c>
      <c r="B18" s="5">
        <v>17.850000000000001</v>
      </c>
      <c r="C18" s="5">
        <v>610</v>
      </c>
      <c r="D18" s="5">
        <v>240</v>
      </c>
      <c r="E18" s="1">
        <f t="shared" si="2"/>
        <v>850</v>
      </c>
      <c r="F18" s="5">
        <f>A2</f>
        <v>24000</v>
      </c>
      <c r="G18" s="5">
        <f t="shared" si="0"/>
        <v>429</v>
      </c>
      <c r="H18" s="5">
        <f>ROUNDUP(E18/G18,1)</f>
        <v>2</v>
      </c>
      <c r="I18" s="5">
        <v>2</v>
      </c>
      <c r="J18" s="5">
        <f>G18*I18</f>
        <v>858</v>
      </c>
      <c r="K18" s="5"/>
      <c r="L18" s="5"/>
      <c r="M18" s="16">
        <f>SUM(M8:M10)</f>
        <v>384232.19999999995</v>
      </c>
    </row>
    <row r="19" spans="1:13" x14ac:dyDescent="0.25">
      <c r="A19" s="17" t="s">
        <v>43</v>
      </c>
    </row>
    <row r="20" spans="1:13" x14ac:dyDescent="0.25">
      <c r="A20" s="17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270E-2E20-42D2-AA0E-D9D45C561DBC}">
  <dimension ref="A1:G18"/>
  <sheetViews>
    <sheetView workbookViewId="0">
      <selection activeCell="I19" sqref="I19"/>
    </sheetView>
  </sheetViews>
  <sheetFormatPr defaultRowHeight="15" x14ac:dyDescent="0.25"/>
  <cols>
    <col min="1" max="1" width="13" customWidth="1"/>
    <col min="2" max="2" width="20.85546875" customWidth="1"/>
  </cols>
  <sheetData>
    <row r="1" spans="1:7" x14ac:dyDescent="0.25">
      <c r="A1" s="9" t="s">
        <v>23</v>
      </c>
      <c r="B1" s="9" t="s">
        <v>16</v>
      </c>
      <c r="C1" s="9" t="s">
        <v>14</v>
      </c>
      <c r="D1" s="20" t="s">
        <v>17</v>
      </c>
      <c r="E1" s="21" t="s">
        <v>17</v>
      </c>
      <c r="F1" s="21" t="s">
        <v>42</v>
      </c>
      <c r="G1" s="10" t="s">
        <v>46</v>
      </c>
    </row>
    <row r="2" spans="1:7" x14ac:dyDescent="0.25">
      <c r="A2" s="1" t="s">
        <v>0</v>
      </c>
      <c r="B2" s="5">
        <v>0.09</v>
      </c>
      <c r="C2" s="5">
        <v>2</v>
      </c>
      <c r="D2" s="22"/>
      <c r="E2" s="8">
        <v>7</v>
      </c>
      <c r="F2" s="8">
        <v>6</v>
      </c>
      <c r="G2" s="6">
        <v>8</v>
      </c>
    </row>
    <row r="3" spans="1:7" x14ac:dyDescent="0.25">
      <c r="A3" s="1" t="s">
        <v>1</v>
      </c>
      <c r="B3" s="5">
        <v>0.09</v>
      </c>
      <c r="C3" s="5">
        <v>3</v>
      </c>
      <c r="D3" s="22"/>
      <c r="E3" s="8">
        <v>7</v>
      </c>
      <c r="F3" s="8">
        <v>6</v>
      </c>
      <c r="G3" s="6">
        <v>8</v>
      </c>
    </row>
    <row r="4" spans="1:7" x14ac:dyDescent="0.25">
      <c r="A4" s="1" t="s">
        <v>2</v>
      </c>
      <c r="B4" s="5">
        <v>0.19</v>
      </c>
      <c r="C4" s="5">
        <v>4</v>
      </c>
      <c r="D4" s="22"/>
      <c r="E4" s="8">
        <v>15</v>
      </c>
      <c r="F4" s="8">
        <v>10</v>
      </c>
      <c r="G4" s="6">
        <v>10</v>
      </c>
    </row>
    <row r="5" spans="1:7" x14ac:dyDescent="0.25">
      <c r="A5" s="1" t="s">
        <v>3</v>
      </c>
      <c r="B5" s="5">
        <v>0.24</v>
      </c>
      <c r="C5" s="5">
        <v>7</v>
      </c>
      <c r="D5" s="22"/>
      <c r="E5" s="8">
        <v>21</v>
      </c>
      <c r="F5" s="8">
        <v>12</v>
      </c>
      <c r="G5" s="6">
        <v>8</v>
      </c>
    </row>
    <row r="6" spans="1:7" x14ac:dyDescent="0.25">
      <c r="A6" s="1" t="s">
        <v>4</v>
      </c>
      <c r="B6" s="5">
        <v>2.6</v>
      </c>
      <c r="C6" s="5">
        <v>103</v>
      </c>
      <c r="D6" s="22"/>
      <c r="E6" s="8">
        <v>130</v>
      </c>
      <c r="F6" s="8">
        <v>126</v>
      </c>
      <c r="G6" s="6">
        <v>126</v>
      </c>
    </row>
    <row r="7" spans="1:7" x14ac:dyDescent="0.25">
      <c r="A7" s="15" t="s">
        <v>10</v>
      </c>
      <c r="B7" s="5">
        <v>4</v>
      </c>
      <c r="C7" s="5">
        <v>140</v>
      </c>
      <c r="D7" s="8"/>
      <c r="E7" s="8">
        <v>260</v>
      </c>
      <c r="F7" s="23">
        <v>190</v>
      </c>
      <c r="G7" s="19">
        <v>190</v>
      </c>
    </row>
    <row r="8" spans="1:7" x14ac:dyDescent="0.25">
      <c r="A8" s="16" t="s">
        <v>11</v>
      </c>
      <c r="B8" s="5">
        <v>1</v>
      </c>
      <c r="C8" s="5">
        <v>88</v>
      </c>
      <c r="D8" s="7"/>
      <c r="E8" s="6"/>
      <c r="G8" s="6">
        <v>100</v>
      </c>
    </row>
    <row r="9" spans="1:7" x14ac:dyDescent="0.25">
      <c r="A9" s="15" t="s">
        <v>12</v>
      </c>
      <c r="B9" s="5">
        <v>0.25</v>
      </c>
      <c r="C9" s="5">
        <v>25</v>
      </c>
      <c r="D9" s="7"/>
      <c r="E9" s="6"/>
      <c r="G9" s="5"/>
    </row>
    <row r="10" spans="1:7" x14ac:dyDescent="0.25">
      <c r="A10" s="5" t="s">
        <v>13</v>
      </c>
      <c r="B10" s="5">
        <v>0.25</v>
      </c>
      <c r="C10" s="5">
        <v>2</v>
      </c>
      <c r="D10" s="7"/>
      <c r="E10" s="6"/>
      <c r="G10" s="5"/>
    </row>
    <row r="11" spans="1:7" x14ac:dyDescent="0.25">
      <c r="A11" s="12" t="s">
        <v>24</v>
      </c>
      <c r="B11" s="5"/>
      <c r="C11" s="5"/>
      <c r="D11" s="5"/>
      <c r="E11" s="5"/>
      <c r="F11" s="5"/>
      <c r="G11" s="5"/>
    </row>
    <row r="12" spans="1:7" x14ac:dyDescent="0.25">
      <c r="A12" s="12" t="s">
        <v>28</v>
      </c>
      <c r="B12" s="5"/>
      <c r="C12" s="5"/>
      <c r="D12" s="5"/>
      <c r="E12" s="5"/>
      <c r="F12" s="5"/>
      <c r="G12" s="5"/>
    </row>
    <row r="13" spans="1:7" x14ac:dyDescent="0.25">
      <c r="A13" s="12" t="s">
        <v>29</v>
      </c>
      <c r="B13" s="5"/>
      <c r="C13" s="5"/>
      <c r="D13" s="5"/>
      <c r="E13" s="5"/>
      <c r="F13" s="5"/>
      <c r="G13" s="5"/>
    </row>
    <row r="14" spans="1:7" x14ac:dyDescent="0.25">
      <c r="A14" s="12" t="s">
        <v>25</v>
      </c>
      <c r="B14" s="5" t="e">
        <f>#REF!*0.75/24</f>
        <v>#REF!</v>
      </c>
      <c r="C14" s="5">
        <v>25000</v>
      </c>
      <c r="D14" s="5"/>
      <c r="E14" s="5"/>
      <c r="F14" s="5"/>
      <c r="G14" s="5"/>
    </row>
    <row r="15" spans="1:7" x14ac:dyDescent="0.25">
      <c r="A15" s="12" t="s">
        <v>26</v>
      </c>
      <c r="B15" s="5" t="e">
        <f>#REF!*0.25/24</f>
        <v>#REF!</v>
      </c>
      <c r="C15" s="5">
        <v>50000</v>
      </c>
      <c r="D15" s="5"/>
      <c r="E15" s="5"/>
      <c r="F15" s="5"/>
      <c r="G15" s="5"/>
    </row>
    <row r="16" spans="1:7" x14ac:dyDescent="0.25">
      <c r="A16" s="17" t="s">
        <v>45</v>
      </c>
      <c r="B16">
        <v>17.850000000000001</v>
      </c>
      <c r="C16">
        <v>610</v>
      </c>
      <c r="D16">
        <v>240</v>
      </c>
    </row>
    <row r="17" spans="1:1" x14ac:dyDescent="0.25">
      <c r="A17" s="17" t="s">
        <v>43</v>
      </c>
    </row>
    <row r="18" spans="1:1" x14ac:dyDescent="0.25">
      <c r="A18" s="17" t="s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8AD2-6CB5-4717-B063-37BABDC0A719}">
  <dimension ref="A1:C8"/>
  <sheetViews>
    <sheetView workbookViewId="0">
      <selection activeCell="B16" sqref="B16"/>
    </sheetView>
  </sheetViews>
  <sheetFormatPr defaultRowHeight="15" x14ac:dyDescent="0.25"/>
  <cols>
    <col min="1" max="1" width="27.5703125" customWidth="1"/>
    <col min="2" max="2" width="14.42578125" customWidth="1"/>
  </cols>
  <sheetData>
    <row r="1" spans="1:3" x14ac:dyDescent="0.25">
      <c r="B1" s="13">
        <v>46179</v>
      </c>
    </row>
    <row r="2" spans="1:3" x14ac:dyDescent="0.25">
      <c r="A2" t="s">
        <v>31</v>
      </c>
      <c r="B2" t="s">
        <v>37</v>
      </c>
      <c r="C2" t="s">
        <v>38</v>
      </c>
    </row>
    <row r="3" spans="1:3" x14ac:dyDescent="0.25">
      <c r="A3" t="s">
        <v>32</v>
      </c>
      <c r="B3">
        <v>442</v>
      </c>
    </row>
    <row r="4" spans="1:3" x14ac:dyDescent="0.25">
      <c r="A4" t="s">
        <v>33</v>
      </c>
      <c r="B4">
        <v>104</v>
      </c>
    </row>
    <row r="5" spans="1:3" x14ac:dyDescent="0.25">
      <c r="A5" t="s">
        <v>34</v>
      </c>
      <c r="B5">
        <v>109</v>
      </c>
    </row>
    <row r="6" spans="1:3" x14ac:dyDescent="0.25">
      <c r="A6" t="s">
        <v>35</v>
      </c>
      <c r="B6">
        <v>28</v>
      </c>
    </row>
    <row r="7" spans="1:3" x14ac:dyDescent="0.25">
      <c r="A7" t="s">
        <v>36</v>
      </c>
      <c r="B7">
        <v>101</v>
      </c>
    </row>
    <row r="8" spans="1:3" x14ac:dyDescent="0.25">
      <c r="A8" t="s">
        <v>18</v>
      </c>
      <c r="B8">
        <f>SUM(B3:B7)</f>
        <v>784</v>
      </c>
      <c r="C8">
        <f>B8*30</f>
        <v>23520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total</vt:lpstr>
      <vt:lpstr>Лист1</vt:lpstr>
      <vt:lpstr>Лист2</vt:lpstr>
      <vt:lpstr>Лист3</vt:lpstr>
      <vt:lpstr>Лист4</vt:lpstr>
      <vt:lpstr>Лист5</vt:lpstr>
      <vt:lpstr>остатки 12.05.2026</vt:lpstr>
      <vt:lpstr>остатки</vt:lpstr>
      <vt:lpstr>06.10.2026</vt:lpstr>
      <vt:lpstr>Лист6</vt:lpstr>
      <vt:lpstr>спрос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2026-10-15T04:59:15Z</dcterms:modified>
</cp:coreProperties>
</file>