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A03E8995-E507-4B35-B78B-0E24DBADC1F3}"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D690" i="1" l="1"/>
  <c r="D689" i="1"/>
  <c r="D688" i="1"/>
  <c r="D687" i="1"/>
  <c r="D686" i="1"/>
  <c r="D685" i="1"/>
  <c r="D684" i="1"/>
  <c r="D683" i="1"/>
  <c r="D682" i="1"/>
  <c r="D681" i="1"/>
  <c r="D680" i="1"/>
  <c r="D679" i="1"/>
  <c r="D678" i="1"/>
  <c r="D677" i="1"/>
  <c r="D676" i="1"/>
  <c r="D675" i="1"/>
  <c r="D674" i="1"/>
  <c r="D673" i="1"/>
  <c r="D672" i="1"/>
  <c r="D671" i="1"/>
  <c r="E709" i="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8" i="1"/>
  <c r="D697" i="1"/>
  <c r="D696" i="1"/>
  <c r="D695" i="1"/>
  <c r="D694" i="1"/>
  <c r="D693" i="1"/>
  <c r="D692" i="1"/>
  <c r="D691" i="1"/>
  <c r="E690" i="1"/>
  <c r="E689" i="1"/>
  <c r="E688" i="1"/>
  <c r="E687" i="1"/>
  <c r="E686" i="1"/>
  <c r="E685" i="1"/>
  <c r="E684" i="1"/>
  <c r="E683" i="1"/>
  <c r="E682" i="1"/>
  <c r="E68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<sst xmlns="http://schemas.openxmlformats.org/spreadsheetml/2006/main" count="8249" uniqueCount="3154">
  <si>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</si>
  <si>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</si>
  <si>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</si>
  <si>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</si>
  <si>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</si>
  <si>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</si>
  <si>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</si>
  <si>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</si>
  <si>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</si>
  <si>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</si>
  <si>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</si>
  <si>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</si>
  <si>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</si>
  <si>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</si>
  <si>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</si>
  <si>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</si>
  <si>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</si>
  <si>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</si>
  <si>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</si>
  <si>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</si>
  <si>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</si>
  <si>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</si>
  <si>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</si>
  <si>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</si>
  <si>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</si>
  <si>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</si>
  <si>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</si>
  <si>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</si>
  <si>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</si>
  <si>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</si>
  <si>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</si>
  <si>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</si>
  <si>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</si>
  <si>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</si>
  <si>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</si>
  <si>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</si>
  <si>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</si>
  <si>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</si>
  <si>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</si>
  <si>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</si>
  <si>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</si>
  <si>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</si>
  <si>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</si>
  <si>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</si>
  <si>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</si>
  <si>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</si>
  <si>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</si>
  <si>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</si>
  <si>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</si>
  <si>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</si>
  <si>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</si>
  <si>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</si>
  <si>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</si>
  <si>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</si>
  <si>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</si>
  <si>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</si>
  <si>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</si>
  <si>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</si>
  <si>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</si>
  <si>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</si>
  <si>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</si>
  <si>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</si>
  <si>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</si>
  <si>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</si>
  <si>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</si>
  <si>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</si>
  <si>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</si>
  <si>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</si>
  <si>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</si>
  <si>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</si>
  <si>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</si>
  <si>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</si>
  <si>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</si>
  <si>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</si>
  <si>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</si>
  <si>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</si>
  <si>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</si>
  <si>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</si>
  <si>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</si>
  <si>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</si>
  <si>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</si>
  <si>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</si>
  <si>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</si>
  <si>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</si>
  <si>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</si>
  <si>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</si>
  <si>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</si>
  <si>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</si>
  <si>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</si>
  <si>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</si>
  <si>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</si>
  <si>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</si>
  <si>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</si>
  <si>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</si>
  <si>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</si>
  <si>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</si>
  <si>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</si>
  <si>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</si>
  <si>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</si>
  <si>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</si>
  <si>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</si>
  <si>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</si>
  <si>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</si>
  <si>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</si>
  <si>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</si>
  <si>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</si>
  <si>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</si>
  <si>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</si>
  <si>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</si>
  <si>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</si>
  <si>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</si>
  <si>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</si>
  <si>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</si>
  <si>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</si>
  <si>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</si>
  <si>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</si>
  <si>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</si>
  <si>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</si>
  <si>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</si>
  <si>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</si>
  <si>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</si>
  <si>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</si>
  <si>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</si>
  <si>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</si>
  <si>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</si>
  <si>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</si>
  <si>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</si>
  <si>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</si>
  <si>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</si>
  <si>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</si>
  <si>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</si>
  <si>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</si>
  <si>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</si>
  <si>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</si>
  <si>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</si>
  <si>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</si>
  <si>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</si>
  <si>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</si>
  <si>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</si>
  <si>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</si>
  <si>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</si>
  <si>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</si>
  <si>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</si>
  <si>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</si>
  <si>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</si>
  <si>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</si>
  <si>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</si>
  <si>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</si>
  <si>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</si>
  <si>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</si>
  <si>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</si>
  <si>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</si>
  <si>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</si>
  <si>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</si>
  <si>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</si>
  <si>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</si>
  <si>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</si>
  <si>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</si>
  <si>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</si>
  <si>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</si>
  <si>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</si>
  <si>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</si>
  <si>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</si>
  <si>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</si>
  <si>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</si>
  <si>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</si>
  <si>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</si>
  <si>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</si>
  <si>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</si>
  <si>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</si>
  <si>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</si>
  <si>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</si>
  <si>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</si>
  <si>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</si>
  <si>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</si>
  <si>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</si>
  <si>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</si>
  <si>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</si>
  <si>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</si>
  <si>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</si>
  <si>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</si>
  <si>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</si>
  <si>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</si>
  <si>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</si>
  <si>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</si>
  <si>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</si>
  <si>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</si>
  <si>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</si>
  <si>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</si>
  <si>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</si>
  <si>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</si>
  <si>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</si>
  <si>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</si>
  <si>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</si>
  <si>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</si>
  <si>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</si>
  <si>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</si>
  <si>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</si>
  <si>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</si>
  <si>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</si>
  <si>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</si>
  <si>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</si>
  <si>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</si>
  <si>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</si>
  <si>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</si>
  <si>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</si>
  <si>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</si>
  <si>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</si>
  <si>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</si>
  <si>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</si>
  <si>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</si>
  <si>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</si>
  <si>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</si>
  <si>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</si>
  <si>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</si>
  <si>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</si>
  <si>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</si>
  <si>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</si>
  <si>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</si>
  <si>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</si>
  <si>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</si>
  <si>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</si>
  <si>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</si>
  <si>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</si>
  <si>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</si>
  <si>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</si>
  <si>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</si>
  <si>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</si>
  <si>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</si>
  <si>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</si>
  <si>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</si>
  <si>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</si>
  <si>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</si>
  <si>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</si>
  <si>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</si>
  <si>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</si>
  <si>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</si>
  <si>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</si>
  <si>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</si>
  <si>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</si>
  <si>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</si>
  <si>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</si>
  <si>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</si>
  <si>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</si>
  <si>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</si>
  <si>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</si>
  <si>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</si>
  <si>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</si>
  <si>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</si>
  <si>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</si>
  <si>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</si>
  <si>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</si>
  <si>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</si>
  <si>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</si>
  <si>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</si>
  <si>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</si>
  <si>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</si>
  <si>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</si>
  <si>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</si>
  <si>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</si>
  <si>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</si>
  <si>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</si>
  <si>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</si>
  <si>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</si>
  <si>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</si>
  <si>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</si>
  <si>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</si>
  <si>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</si>
  <si>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</si>
  <si>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</si>
  <si>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</si>
  <si>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</si>
  <si>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</si>
  <si>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</si>
  <si>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</si>
  <si>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</si>
  <si>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</si>
  <si>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</si>
  <si>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</si>
  <si>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</si>
  <si>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</si>
  <si>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</si>
  <si>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</si>
  <si>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</si>
  <si>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</si>
  <si>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</si>
  <si>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</si>
  <si>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</si>
  <si>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</si>
  <si>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</si>
  <si>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</si>
  <si>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</si>
  <si>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</si>
  <si>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</si>
  <si>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</si>
  <si>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</si>
  <si>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</si>
  <si>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</si>
  <si>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</si>
  <si>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</si>
  <si>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</si>
  <si>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</si>
  <si>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</si>
  <si>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</si>
  <si>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</si>
  <si>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</si>
  <si>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</si>
  <si>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</si>
  <si>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</si>
  <si>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</si>
  <si>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</si>
  <si>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</si>
  <si>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</si>
  <si>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</si>
  <si>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</si>
  <si>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</si>
  <si>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</si>
  <si>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</si>
  <si>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</si>
  <si>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</si>
  <si>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</si>
  <si>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</si>
  <si>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</si>
  <si>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</si>
  <si>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</si>
  <si>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</si>
  <si>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</si>
  <si>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</si>
  <si>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</si>
  <si>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</si>
  <si>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</si>
  <si>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</si>
  <si>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</si>
  <si>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</si>
  <si>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</si>
  <si>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</si>
  <si>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</si>
  <si>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</si>
  <si>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</si>
  <si>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</si>
  <si>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</si>
  <si>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</si>
  <si>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</si>
  <si>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</si>
  <si>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</si>
  <si>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</si>
  <si>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</si>
  <si>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</si>
  <si>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</si>
  <si>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</si>
  <si>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</si>
  <si>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</si>
  <si>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</si>
  <si>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</si>
  <si>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</si>
  <si>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</si>
  <si>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</si>
  <si>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</si>
  <si>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</si>
  <si>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</si>
  <si>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</si>
  <si>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</si>
  <si>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</si>
  <si>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</si>
  <si>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</si>
  <si>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</si>
  <si>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</si>
  <si>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</si>
  <si>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</si>
  <si>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</si>
  <si>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</si>
  <si>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</si>
  <si>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</si>
  <si>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</si>
  <si>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</si>
  <si>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</si>
  <si>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</si>
  <si>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</si>
  <si>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</si>
  <si>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</si>
  <si>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</si>
  <si>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</si>
  <si>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</si>
  <si>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</si>
  <si>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</si>
  <si>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</si>
  <si>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</si>
  <si>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</si>
  <si>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</si>
  <si>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</si>
  <si>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</si>
  <si>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</si>
  <si>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</si>
  <si>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</si>
  <si>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</si>
  <si>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</si>
  <si>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</si>
  <si>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</si>
  <si>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</si>
  <si>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</si>
  <si>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</si>
  <si>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</si>
  <si>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</si>
  <si>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</si>
  <si>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</si>
  <si>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</si>
  <si>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</si>
  <si>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</si>
  <si>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</si>
  <si>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</si>
  <si>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</si>
  <si>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</si>
  <si>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</si>
  <si>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</si>
  <si>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</si>
  <si>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</si>
  <si>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</si>
  <si>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</si>
  <si>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</si>
  <si>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</si>
  <si>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</si>
  <si>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</si>
  <si>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</si>
  <si>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</si>
  <si>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</si>
  <si>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</si>
  <si>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</si>
  <si>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</si>
  <si>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</si>
  <si>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</si>
  <si>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</si>
  <si>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</si>
  <si>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</si>
  <si>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</si>
  <si>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</si>
  <si>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</si>
  <si>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</si>
  <si>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</si>
  <si>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</si>
  <si>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</si>
  <si>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</si>
  <si>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</si>
  <si>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</si>
  <si>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</si>
  <si>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</si>
  <si>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</si>
  <si>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</si>
  <si>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</si>
  <si>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</si>
  <si>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</si>
  <si>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</si>
  <si>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</si>
  <si>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</si>
  <si>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</si>
  <si>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</si>
  <si>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</si>
  <si>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</si>
  <si>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</si>
  <si>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</si>
  <si>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</si>
  <si>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</si>
  <si>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</si>
  <si>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</si>
  <si>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</si>
  <si>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</si>
  <si>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</si>
  <si>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</si>
  <si>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</si>
  <si>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</si>
  <si>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</si>
  <si>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</si>
  <si>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</si>
  <si>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</si>
  <si>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</si>
  <si>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</si>
  <si>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</si>
  <si>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</si>
  <si>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</si>
  <si>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</si>
  <si>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</si>
  <si>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</si>
  <si>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</si>
  <si>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</si>
  <si>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</si>
  <si>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</si>
  <si>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</si>
  <si>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</si>
  <si>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</si>
  <si>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</si>
  <si>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</si>
  <si>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</si>
  <si>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</si>
  <si>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</si>
  <si>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</si>
  <si>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</si>
  <si>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</si>
  <si>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</si>
  <si>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</si>
  <si>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</si>
  <si>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</si>
  <si>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</si>
  <si>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</si>
  <si>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</si>
  <si>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</si>
  <si>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</si>
  <si>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</si>
  <si>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</si>
  <si>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</si>
  <si>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</si>
  <si>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</si>
  <si>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</si>
  <si>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</si>
  <si>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</si>
  <si>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</si>
  <si>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</si>
  <si>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</si>
  <si>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</si>
  <si>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</si>
  <si>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</si>
  <si>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</si>
  <si>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</si>
  <si>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</si>
  <si>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</si>
  <si>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</si>
  <si>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</si>
  <si>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</si>
  <si>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</si>
  <si>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</si>
  <si>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</si>
  <si>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</si>
  <si>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</si>
  <si>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</si>
  <si>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</si>
  <si>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</si>
  <si>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</si>
  <si>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</si>
  <si>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</si>
  <si>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</si>
  <si>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</si>
  <si>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</si>
  <si>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</si>
  <si>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</si>
  <si>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</si>
  <si>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</si>
  <si>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</si>
  <si>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</si>
  <si>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</si>
  <si>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</si>
  <si>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</si>
  <si>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</si>
  <si>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</si>
  <si>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</si>
  <si>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</si>
  <si>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</si>
  <si>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</si>
  <si>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</si>
  <si>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</si>
  <si>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</si>
  <si>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</si>
  <si>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</si>
  <si>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</si>
  <si>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</si>
  <si>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</si>
  <si>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</si>
  <si>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</si>
  <si>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</si>
  <si>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</si>
  <si>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</si>
  <si>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</si>
  <si>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</si>
  <si>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</si>
  <si>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</si>
  <si>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</si>
  <si>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</si>
  <si>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</si>
  <si>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</si>
  <si>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</si>
  <si>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</si>
  <si>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</si>
  <si>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</si>
  <si>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</si>
  <si>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</si>
  <si>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</si>
  <si>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</si>
  <si>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</si>
  <si>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</si>
  <si>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</si>
  <si>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</si>
  <si>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</si>
  <si>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</si>
  <si>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</si>
  <si>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</si>
  <si>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</si>
  <si>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</si>
  <si>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</si>
  <si>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</si>
  <si>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</si>
  <si>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</si>
  <si>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</si>
  <si>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</si>
  <si>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</si>
  <si>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</si>
  <si>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</si>
  <si>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</si>
  <si>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</si>
  <si>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</si>
  <si>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</si>
  <si>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</si>
  <si>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</si>
  <si>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</si>
  <si>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</si>
  <si>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</si>
  <si>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</si>
  <si>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</si>
  <si>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</si>
  <si>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</si>
  <si>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</si>
  <si>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</si>
  <si>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</si>
  <si>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</si>
  <si>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</si>
  <si>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</si>
  <si>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</si>
  <si>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</si>
  <si>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</si>
  <si>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</si>
  <si>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</si>
  <si>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</si>
  <si>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</si>
  <si>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</si>
  <si>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</si>
  <si>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</si>
  <si>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</si>
  <si>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</si>
  <si>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</si>
  <si>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</si>
  <si>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</si>
  <si>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</si>
  <si>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</si>
  <si>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</si>
  <si>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</si>
  <si>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</si>
  <si>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</si>
  <si>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</si>
  <si>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</si>
  <si>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</si>
  <si>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</si>
  <si>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</si>
  <si>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</si>
  <si>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</si>
  <si>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</si>
  <si>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</si>
  <si>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</si>
  <si>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</si>
  <si>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</si>
  <si>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</si>
  <si>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</si>
  <si>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</si>
  <si>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</si>
  <si>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</si>
  <si>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</si>
  <si>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</si>
  <si>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</si>
  <si>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</si>
  <si>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</si>
  <si>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</si>
  <si>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</si>
  <si>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</si>
  <si>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</si>
  <si>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</si>
  <si>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</si>
  <si>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</si>
  <si>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</si>
  <si>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</si>
  <si>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</si>
  <si>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</si>
  <si>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</si>
  <si>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</si>
  <si>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</si>
  <si>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</si>
  <si>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</si>
  <si>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</si>
  <si>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</si>
  <si>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</si>
  <si>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</si>
  <si>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</si>
  <si>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</si>
  <si>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</si>
  <si>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</si>
  <si>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</si>
  <si>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</si>
  <si>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</si>
  <si>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</si>
  <si>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</si>
  <si>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</si>
  <si>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</si>
  <si>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</si>
  <si>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</si>
  <si>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</si>
  <si>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</si>
  <si>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</si>
  <si>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</si>
  <si>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</si>
  <si>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</si>
  <si>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</si>
  <si>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</si>
  <si>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</si>
  <si>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</si>
  <si>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</si>
  <si>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</si>
  <si>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</si>
  <si>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</si>
  <si>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</si>
  <si>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</si>
  <si>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</si>
  <si>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</si>
  <si>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</si>
  <si>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</si>
  <si>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</si>
  <si>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</si>
  <si>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</si>
  <si>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</si>
  <si>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</si>
  <si>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</si>
  <si>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</si>
  <si>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</si>
  <si>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</si>
  <si>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</si>
  <si>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</si>
  <si>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</si>
  <si>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</si>
  <si>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</si>
  <si>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</si>
  <si>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</si>
  <si>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</si>
  <si>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</si>
  <si>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</si>
  <si>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</si>
  <si>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</si>
  <si>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</si>
  <si>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</si>
  <si>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</si>
  <si>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</si>
  <si>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</si>
  <si>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</si>
  <si>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</si>
  <si>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</si>
  <si>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</si>
  <si>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</si>
  <si>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</si>
  <si>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</si>
  <si>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</si>
  <si>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</si>
  <si>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</si>
  <si>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</si>
  <si>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</si>
  <si>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</si>
  <si>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</si>
  <si>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</si>
  <si>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</si>
  <si>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</si>
  <si>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</si>
  <si>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</si>
  <si>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</si>
  <si>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</si>
  <si>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</si>
  <si>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</si>
  <si>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</si>
  <si>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</si>
  <si>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</si>
  <si>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</si>
  <si>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</si>
  <si>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</si>
  <si>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</si>
  <si>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</si>
  <si>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</si>
  <si>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</si>
  <si>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</si>
  <si>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</si>
  <si>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</si>
  <si>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</si>
  <si>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</si>
  <si>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</si>
  <si>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</si>
  <si>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</si>
  <si>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</si>
  <si>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</si>
  <si>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</si>
  <si>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</si>
  <si>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</si>
  <si>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</si>
  <si>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</si>
  <si>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</si>
  <si>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</si>
  <si>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</si>
  <si>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</si>
  <si>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</si>
  <si>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</si>
  <si>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</si>
  <si>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</si>
  <si>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</si>
  <si>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</si>
  <si>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</si>
  <si>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</si>
  <si>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</si>
  <si>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</si>
  <si>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</si>
  <si>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</si>
  <si>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</si>
  <si>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</si>
  <si>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</si>
  <si>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</si>
  <si>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</si>
  <si>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</si>
  <si>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</si>
  <si>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</si>
  <si>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</si>
  <si>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</si>
  <si>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</si>
  <si>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</si>
  <si>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</si>
  <si>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</si>
  <si>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</si>
  <si>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</si>
  <si>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</si>
  <si>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</si>
  <si>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</si>
  <si>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</si>
  <si>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</si>
  <si>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</si>
  <si>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</si>
  <si>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</si>
  <si>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</si>
  <si>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</si>
  <si>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</si>
  <si>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</si>
  <si>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</si>
  <si>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</si>
  <si>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</si>
  <si>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</si>
  <si>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</si>
  <si>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</si>
  <si>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</si>
  <si>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</si>
  <si>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</si>
  <si>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</si>
  <si>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</si>
  <si>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</si>
  <si>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</si>
  <si>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</si>
  <si>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</si>
  <si>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</si>
  <si>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</si>
  <si>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</si>
  <si>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</si>
  <si>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</si>
  <si>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</si>
  <si>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</si>
  <si>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</si>
  <si>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</si>
  <si>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</si>
  <si>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</si>
  <si>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</si>
  <si>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</si>
  <si>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</si>
  <si>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</si>
  <si>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</si>
  <si>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</si>
  <si>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</si>
  <si>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</si>
  <si>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</si>
  <si>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</si>
  <si>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</si>
  <si>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</si>
  <si>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</si>
  <si>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</si>
  <si>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</si>
  <si>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</si>
  <si>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</si>
  <si>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</si>
  <si>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</si>
  <si>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</si>
  <si>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</si>
  <si>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</si>
  <si>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</si>
  <si>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</si>
  <si>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</si>
  <si>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</si>
  <si>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</si>
  <si>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</si>
  <si>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</si>
  <si>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</si>
  <si>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</si>
  <si>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</si>
  <si>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</si>
  <si>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</si>
  <si>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</si>
  <si>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</si>
  <si>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</si>
  <si>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</si>
  <si>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</si>
  <si>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</si>
  <si>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</si>
  <si>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</si>
  <si>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</si>
  <si>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</si>
  <si>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</si>
  <si>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</si>
  <si>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</si>
  <si>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</si>
  <si>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</si>
  <si>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</si>
  <si>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</si>
  <si>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</si>
  <si>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</si>
  <si>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</si>
  <si>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</si>
  <si>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</si>
  <si>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</si>
  <si>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</si>
  <si>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</si>
  <si>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</si>
  <si>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</si>
  <si>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</si>
  <si>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</si>
  <si>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</si>
  <si>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</si>
  <si>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</si>
  <si>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</si>
  <si>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</si>
  <si>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</si>
  <si>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</si>
  <si>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</si>
  <si>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</si>
  <si>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</si>
  <si>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</si>
  <si>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</si>
  <si>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</si>
  <si>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</si>
  <si>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</si>
  <si>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</si>
  <si>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</si>
  <si>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</si>
  <si>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</si>
  <si>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</si>
  <si>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</si>
  <si>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</si>
  <si>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</si>
  <si>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</si>
  <si>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</si>
  <si>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</si>
  <si>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</si>
  <si>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</si>
  <si>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</si>
  <si>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</si>
  <si>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</si>
  <si>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</si>
  <si>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</si>
  <si>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</si>
  <si>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</si>
  <si>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</si>
  <si>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</si>
  <si>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</si>
  <si>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</si>
  <si>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</si>
  <si>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</si>
  <si>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</si>
  <si>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</si>
  <si>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</si>
  <si>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</si>
  <si>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</si>
  <si>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</si>
  <si>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</si>
  <si>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</si>
  <si>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</si>
  <si>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</si>
  <si>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</si>
  <si>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</si>
  <si>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</si>
  <si>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</si>
  <si>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</si>
  <si>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</si>
  <si>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</si>
  <si>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</si>
  <si>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</si>
  <si>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</si>
  <si>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</si>
  <si>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</si>
  <si>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</si>
  <si>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</si>
  <si>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</si>
  <si>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</si>
  <si>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</si>
  <si>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</si>
  <si>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</si>
  <si>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</si>
  <si>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</si>
  <si>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</si>
  <si>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</si>
  <si>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</si>
  <si>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</si>
  <si>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</si>
  <si>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</si>
  <si>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</si>
  <si>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</si>
  <si>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</si>
  <si>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</si>
  <si>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</si>
  <si>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</si>
  <si>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</si>
  <si>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</si>
  <si>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</si>
  <si>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</si>
  <si>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</si>
  <si>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</si>
  <si>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</si>
  <si>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</si>
  <si>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</si>
  <si>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</si>
  <si>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</si>
  <si>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</si>
  <si>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</si>
  <si>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</si>
  <si>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</si>
  <si>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</si>
  <si>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</si>
  <si>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</si>
  <si>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</si>
  <si>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</si>
  <si>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</si>
  <si>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</si>
  <si>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</si>
  <si>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</si>
  <si>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</si>
  <si>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</si>
  <si>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</si>
  <si>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</si>
  <si>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</si>
  <si>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</si>
  <si>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</si>
  <si>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</si>
  <si>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</si>
  <si>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</si>
  <si>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</si>
  <si>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</si>
  <si>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</si>
  <si>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</si>
  <si>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</si>
  <si>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</si>
  <si>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</si>
  <si>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</si>
  <si>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</si>
  <si>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</si>
  <si>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</si>
  <si>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</si>
  <si>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</si>
  <si>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</si>
  <si>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</si>
  <si>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</si>
  <si>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</si>
  <si>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</si>
  <si>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</si>
  <si>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</si>
  <si>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</si>
  <si>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</si>
  <si>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</si>
  <si>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</si>
  <si>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</si>
  <si>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</si>
  <si>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</si>
  <si>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</si>
  <si>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</si>
  <si>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</si>
  <si>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</si>
  <si>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</si>
  <si>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</si>
  <si>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</si>
  <si>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</si>
  <si>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</si>
  <si>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</si>
  <si>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</si>
  <si>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</si>
  <si>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</si>
  <si>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</si>
  <si>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</si>
  <si>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</si>
  <si>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</si>
  <si>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</si>
  <si>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</si>
  <si>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</si>
  <si>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</si>
  <si>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</si>
  <si>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</si>
  <si>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</si>
  <si>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</si>
  <si>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</si>
  <si>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</si>
  <si>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</si>
  <si>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</si>
  <si>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</si>
  <si>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</si>
  <si>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</si>
  <si>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</si>
  <si>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</si>
  <si>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</si>
  <si>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</si>
  <si>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</si>
  <si>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</si>
  <si>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</si>
  <si>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</si>
  <si>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</si>
  <si>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</si>
  <si>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</si>
  <si>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</si>
  <si>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</si>
  <si>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</si>
  <si>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</si>
  <si>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</si>
  <si>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</si>
  <si>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</si>
  <si>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</si>
  <si>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</si>
  <si>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</si>
  <si>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</si>
  <si>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</si>
  <si>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</si>
  <si>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</si>
  <si>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</si>
  <si>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</si>
  <si>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</si>
  <si>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</si>
  <si>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</si>
  <si>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</si>
  <si>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</si>
  <si>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</si>
  <si>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</si>
  <si>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</si>
  <si>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</si>
  <si>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</si>
  <si>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</si>
  <si>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</si>
  <si>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</si>
  <si>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</si>
  <si>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</si>
  <si>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</si>
  <si>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</si>
  <si>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</si>
  <si>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</si>
  <si>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</si>
  <si>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</si>
  <si>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</si>
  <si>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</si>
  <si>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</si>
  <si>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</si>
  <si>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</si>
  <si>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</si>
  <si>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</si>
  <si>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</si>
  <si>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</si>
  <si>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</si>
  <si>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</si>
  <si>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</si>
  <si>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</si>
  <si>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</si>
  <si>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</si>
  <si>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</si>
  <si>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</si>
  <si>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</si>
  <si>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</si>
  <si>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</si>
  <si>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</si>
  <si>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</si>
  <si>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</si>
  <si>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</si>
  <si>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</si>
  <si>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</si>
  <si>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</si>
  <si>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</si>
  <si>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</si>
  <si>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</si>
  <si>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</si>
  <si>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</si>
  <si>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</si>
  <si>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</si>
  <si>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</si>
  <si>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</si>
  <si>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</si>
  <si>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</si>
  <si>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</si>
  <si>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</si>
  <si>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</si>
  <si>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</si>
  <si>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</si>
  <si>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</si>
  <si>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</si>
  <si>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</si>
  <si>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</si>
  <si>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</si>
  <si>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</si>
  <si>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</si>
  <si>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</si>
  <si>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</si>
  <si>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</si>
  <si>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</si>
  <si>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</si>
  <si>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</si>
  <si>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</si>
  <si>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</si>
  <si>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</si>
  <si>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</si>
  <si>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</si>
  <si>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</si>
  <si>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</si>
  <si>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</si>
  <si>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</si>
  <si>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</si>
  <si>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</si>
  <si>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</si>
  <si>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</si>
  <si>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</si>
  <si>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</si>
  <si>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</si>
  <si>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</si>
  <si>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</si>
  <si>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</si>
  <si>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</si>
  <si>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</si>
  <si>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</si>
  <si>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</si>
  <si>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</si>
  <si>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</si>
  <si>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</si>
  <si>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</si>
  <si>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</si>
  <si>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</si>
  <si>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</si>
  <si>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</si>
  <si>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</si>
  <si>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</si>
  <si>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</si>
  <si>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</si>
  <si>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</si>
  <si>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</si>
  <si>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</si>
  <si>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</si>
  <si>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</si>
  <si>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</si>
  <si>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</si>
  <si>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</si>
  <si>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</si>
  <si>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</si>
  <si>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</si>
  <si>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</si>
  <si>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</si>
  <si>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</si>
  <si>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</si>
  <si>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</si>
  <si>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</si>
  <si>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</si>
  <si>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</si>
  <si>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</si>
  <si>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</si>
  <si>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</si>
  <si>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</si>
  <si>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</si>
  <si>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</si>
  <si>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</si>
  <si>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</si>
  <si>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</si>
  <si>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</si>
  <si>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</si>
  <si>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</si>
  <si>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</si>
  <si>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</si>
  <si>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</si>
  <si>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</si>
  <si>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</si>
  <si>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</si>
  <si>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</si>
  <si>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</si>
  <si>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</si>
  <si>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</si>
  <si>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</si>
  <si>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</si>
  <si>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</si>
  <si>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</si>
  <si>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</si>
  <si>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</si>
  <si>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</si>
  <si>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</si>
  <si>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</si>
  <si>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</si>
  <si>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</si>
  <si>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</si>
  <si>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</si>
  <si>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</si>
  <si>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</si>
  <si>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</si>
  <si>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</si>
  <si>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</si>
  <si>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</si>
  <si>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</si>
  <si>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</si>
  <si>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</si>
  <si>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</si>
  <si>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</si>
  <si>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</si>
  <si>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</si>
  <si>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</si>
  <si>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</si>
  <si>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</si>
  <si>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</si>
  <si>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</si>
  <si>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</si>
  <si>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</si>
  <si>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</si>
  <si>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</si>
  <si>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</si>
  <si>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</si>
  <si>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</si>
  <si>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</si>
  <si>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</si>
  <si>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</si>
  <si>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</si>
  <si>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</si>
  <si>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</si>
  <si>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</si>
  <si>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</si>
  <si>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</si>
  <si>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</si>
  <si>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</si>
  <si>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</si>
  <si>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</si>
  <si>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</si>
  <si>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</si>
  <si>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</si>
  <si>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</si>
  <si>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</si>
  <si>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</si>
  <si>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</si>
  <si>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</si>
  <si>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</si>
  <si>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</si>
  <si>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</si>
  <si>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</si>
  <si>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</si>
  <si>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</si>
  <si>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</si>
  <si>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</si>
  <si>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</si>
  <si>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</si>
  <si>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</si>
  <si>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</si>
  <si>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</si>
  <si>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</si>
  <si>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</si>
  <si>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</si>
  <si>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</si>
  <si>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</si>
  <si>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</si>
  <si>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</si>
  <si>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</si>
  <si>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</si>
  <si>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</si>
  <si>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</si>
  <si>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</si>
  <si>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</si>
  <si>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</si>
  <si>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</si>
  <si>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</si>
  <si>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</si>
  <si>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</si>
  <si>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</si>
  <si>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</si>
  <si>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</si>
  <si>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</si>
  <si>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</si>
  <si>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</si>
  <si>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</si>
  <si>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</si>
  <si>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</si>
  <si>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</si>
  <si>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</si>
  <si>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</si>
  <si>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</si>
  <si>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</si>
  <si>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</si>
  <si>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</si>
  <si>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</si>
  <si>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</si>
  <si>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</si>
  <si>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</si>
  <si>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</si>
  <si>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</si>
  <si>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</si>
  <si>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</si>
  <si>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</si>
  <si>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</si>
  <si>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</si>
  <si>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</si>
  <si>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</si>
  <si>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</si>
  <si>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</si>
  <si>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</si>
  <si>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</si>
  <si>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</si>
  <si>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</si>
  <si>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</si>
  <si>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</si>
  <si>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</si>
  <si>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</si>
  <si>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</si>
  <si>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</si>
  <si>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</si>
  <si>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</si>
  <si>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</si>
  <si>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</si>
  <si>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</si>
  <si>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</si>
  <si>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</si>
  <si>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</si>
  <si>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</si>
  <si>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</si>
  <si>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</si>
  <si>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</si>
  <si>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</si>
  <si>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</si>
  <si>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</si>
  <si>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</si>
  <si>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</si>
  <si>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</si>
  <si>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</si>
  <si>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</si>
  <si>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</si>
  <si>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</si>
  <si>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</si>
  <si>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</si>
  <si>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</si>
  <si>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</si>
  <si>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</si>
  <si>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</si>
  <si>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</si>
  <si>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</si>
  <si>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</si>
  <si>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</si>
  <si>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</si>
  <si>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</si>
  <si>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</si>
  <si>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</si>
  <si>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</si>
  <si>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</si>
  <si>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</si>
  <si>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</si>
  <si>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</si>
  <si>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</si>
  <si>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</si>
  <si>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</si>
  <si>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</si>
  <si>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</si>
  <si>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</si>
  <si>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</si>
  <si>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</si>
  <si>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</si>
  <si>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</si>
  <si>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</si>
  <si>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</si>
  <si>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</si>
  <si>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</si>
  <si>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</si>
  <si>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</si>
  <si>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</si>
  <si>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</si>
  <si>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</si>
  <si>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</si>
  <si>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</si>
  <si>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</si>
  <si>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</si>
  <si>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</si>
  <si>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</si>
  <si>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</si>
  <si>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</si>
  <si>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</si>
  <si>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</si>
  <si>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</si>
  <si>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</si>
  <si>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</si>
  <si>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</si>
  <si>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</si>
  <si>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</si>
  <si>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</si>
  <si>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</si>
  <si>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</si>
  <si>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</si>
  <si>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</si>
  <si>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</si>
  <si>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</si>
  <si>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</si>
  <si>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</si>
  <si>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</si>
  <si>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</si>
  <si>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</si>
  <si>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</si>
  <si>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</si>
  <si>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</si>
  <si>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</si>
  <si>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</si>
  <si>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</si>
  <si>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</si>
  <si>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</si>
  <si>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</si>
  <si>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</si>
  <si>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</si>
  <si>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</si>
  <si>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</si>
  <si>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</si>
  <si>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</si>
  <si>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</si>
  <si>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</si>
  <si>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</si>
  <si>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</si>
  <si>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</si>
  <si>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</si>
  <si>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</si>
  <si>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</si>
  <si>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</si>
  <si>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</si>
  <si>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</si>
  <si>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</si>
  <si>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</si>
  <si>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</si>
  <si>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</si>
  <si>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</si>
  <si>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</si>
  <si>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</si>
  <si>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</si>
  <si>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</si>
  <si>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</si>
  <si>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</si>
  <si>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</si>
  <si>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</si>
  <si>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</si>
  <si>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</si>
  <si>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</si>
  <si>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</si>
  <si>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</si>
  <si>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</si>
  <si>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</si>
  <si>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</si>
  <si>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</si>
  <si>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</si>
  <si>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</si>
  <si>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</si>
  <si>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</si>
  <si>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</si>
  <si>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</si>
  <si>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</si>
  <si>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</si>
  <si>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</si>
  <si>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</si>
  <si>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</si>
  <si>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</si>
  <si>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</si>
  <si>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</si>
  <si>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</si>
  <si>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</si>
  <si>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</si>
  <si>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</si>
  <si>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</si>
  <si>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</si>
  <si>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</si>
  <si>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</si>
  <si>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</si>
  <si>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</si>
  <si>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</si>
  <si>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</si>
  <si>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</si>
  <si>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</si>
  <si>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</si>
  <si>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</si>
  <si>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</si>
  <si>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</si>
  <si>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</si>
  <si>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</si>
  <si>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</si>
  <si>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</si>
  <si>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</si>
  <si>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</si>
  <si>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</si>
  <si>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</si>
  <si>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</si>
  <si>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</si>
  <si>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</si>
  <si>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</si>
  <si>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</si>
  <si>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</si>
  <si>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</si>
  <si>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</si>
  <si>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</si>
  <si>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</si>
  <si>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</si>
  <si>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</si>
  <si>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</si>
  <si>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</si>
  <si>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</si>
  <si>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</si>
  <si>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</si>
  <si>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</si>
  <si>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</si>
  <si>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</si>
  <si>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</si>
  <si>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</si>
  <si>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</si>
  <si>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</si>
  <si>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</si>
  <si>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</si>
  <si>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</si>
  <si>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</si>
  <si>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</si>
  <si>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</si>
  <si>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</si>
  <si>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</si>
  <si>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</si>
  <si>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</si>
  <si>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</si>
  <si>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</si>
  <si>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</si>
  <si>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</si>
  <si>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</si>
  <si>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</si>
  <si>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</si>
  <si>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</si>
  <si>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</si>
  <si>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</si>
  <si>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</si>
  <si>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</si>
  <si>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</si>
  <si>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</si>
  <si>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</si>
  <si>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</si>
  <si>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</si>
  <si>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</si>
  <si>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</si>
  <si>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</si>
  <si>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</si>
  <si>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</si>
  <si>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</si>
  <si>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</si>
  <si>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</si>
  <si>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</si>
  <si>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</si>
  <si>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</si>
  <si>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</si>
  <si>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</si>
  <si>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</si>
  <si>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</si>
  <si>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</si>
  <si>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</si>
  <si>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</si>
  <si>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</si>
  <si>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</si>
  <si>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</si>
  <si>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</si>
  <si>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</si>
  <si>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</si>
  <si>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</si>
  <si>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</si>
  <si>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</si>
  <si>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</si>
  <si>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</si>
  <si>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</si>
  <si>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</si>
  <si>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</si>
  <si>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</si>
  <si>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</si>
  <si>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</si>
  <si>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</si>
  <si>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</si>
  <si>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</si>
  <si>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</si>
  <si>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</si>
  <si>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</si>
  <si>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</si>
  <si>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</si>
  <si>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</si>
  <si>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</si>
  <si>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</si>
  <si>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</si>
  <si>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</si>
  <si>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</si>
  <si>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</si>
  <si>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</si>
  <si>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</si>
  <si>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</si>
  <si>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</si>
  <si>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</si>
  <si>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</si>
  <si>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</si>
  <si>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</si>
  <si>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</si>
  <si>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</si>
  <si>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</si>
  <si>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</si>
  <si>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</si>
  <si>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</si>
  <si>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</si>
  <si>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</si>
  <si>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</si>
  <si>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</si>
  <si>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</si>
  <si>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</si>
  <si>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</si>
  <si>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</si>
  <si>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</si>
  <si>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</si>
  <si>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</si>
  <si>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</si>
  <si>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</si>
  <si>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</si>
  <si>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</si>
  <si>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</si>
  <si>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</si>
  <si>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</si>
  <si>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</si>
  <si>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</si>
  <si>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</si>
  <si>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</si>
  <si>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</si>
  <si>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</si>
  <si>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</si>
  <si>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</si>
  <si>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</si>
  <si>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</si>
  <si>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</si>
  <si>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</si>
  <si>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</si>
  <si>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</si>
  <si>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</si>
  <si>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</si>
  <si>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</si>
  <si>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</si>
  <si>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</si>
  <si>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</si>
  <si>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</si>
  <si>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</si>
  <si>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</si>
  <si>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</si>
  <si>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</si>
  <si>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</si>
  <si>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</si>
  <si>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</si>
  <si>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</si>
  <si>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</si>
  <si>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</si>
  <si>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</si>
  <si>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</si>
  <si>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</si>
  <si>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</si>
  <si>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</si>
  <si>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</si>
  <si>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</si>
  <si>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</si>
  <si>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</si>
  <si>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</si>
  <si>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</si>
  <si>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</si>
  <si>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</si>
  <si>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</si>
  <si>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</si>
  <si>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</si>
  <si>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</si>
  <si>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</si>
  <si>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</si>
  <si>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</si>
  <si>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</si>
  <si>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</si>
  <si>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</si>
  <si>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</si>
  <si>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</si>
  <si>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</si>
  <si>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</si>
  <si>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</si>
  <si>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</si>
  <si>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</si>
  <si>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</si>
  <si>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</si>
  <si>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</si>
  <si>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</si>
  <si>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</si>
  <si>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</si>
  <si>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</si>
  <si>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</si>
  <si>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</si>
  <si>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</si>
  <si>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</si>
  <si>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</si>
  <si>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</si>
  <si>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</si>
  <si>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</si>
  <si>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</si>
  <si>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</si>
  <si>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</si>
  <si>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</si>
  <si>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</si>
  <si>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</si>
  <si>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</si>
  <si>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</si>
  <si>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</si>
  <si>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</si>
  <si>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</si>
  <si>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</si>
  <si>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</si>
  <si>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</si>
  <si>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</si>
  <si>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</si>
  <si>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</si>
  <si>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</si>
  <si>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</si>
  <si>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</si>
  <si>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</si>
  <si>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</si>
  <si>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</si>
  <si>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</si>
  <si>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</si>
  <si>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</si>
  <si>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</si>
  <si>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</si>
  <si>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</si>
  <si>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</si>
  <si>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</si>
  <si>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</si>
  <si>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</si>
  <si>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</si>
  <si>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</si>
  <si>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</si>
  <si>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</si>
  <si>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</si>
  <si>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</si>
  <si>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</si>
  <si>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</si>
  <si>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</si>
  <si>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</si>
  <si>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</si>
  <si>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</si>
  <si>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</si>
  <si>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</si>
  <si>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</si>
  <si>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</si>
  <si>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</si>
  <si>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</si>
  <si>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</si>
  <si>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</si>
  <si>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</si>
  <si>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</si>
  <si>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</si>
  <si>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</si>
  <si>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</si>
  <si>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</si>
  <si>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</si>
  <si>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</si>
  <si>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</si>
  <si>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</si>
  <si>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</si>
  <si>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</si>
  <si>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</si>
  <si>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</si>
  <si>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</si>
  <si>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</si>
  <si>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</si>
  <si>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</si>
  <si>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</si>
  <si>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</si>
  <si>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</si>
  <si>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</si>
  <si>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</si>
  <si>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</si>
  <si>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</si>
  <si>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</si>
  <si>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</si>
  <si>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</si>
  <si>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</si>
  <si>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</si>
  <si>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</si>
  <si>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</si>
  <si>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</si>
  <si>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</si>
  <si>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</si>
  <si>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</si>
  <si>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</si>
  <si>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</si>
  <si>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</si>
  <si>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</si>
  <si>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</si>
  <si>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</si>
  <si>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</si>
  <si>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</si>
  <si>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</si>
  <si>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</si>
  <si>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</si>
  <si>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</si>
  <si>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</si>
  <si>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</si>
  <si>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</si>
  <si>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</si>
  <si>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</si>
  <si>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</si>
  <si>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</si>
  <si>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</si>
  <si>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</si>
  <si>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</si>
  <si>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</si>
  <si>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</si>
  <si>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</si>
  <si>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</si>
  <si>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</si>
  <si>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</si>
  <si>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</si>
  <si>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</si>
  <si>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</si>
  <si>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</si>
  <si>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</si>
  <si>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</si>
  <si>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</si>
  <si>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</si>
  <si>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</si>
  <si>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</si>
  <si>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</si>
  <si>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</si>
  <si>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</si>
  <si>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</si>
  <si>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</si>
  <si>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</si>
  <si>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</si>
  <si>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</si>
  <si>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</si>
  <si>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</si>
  <si>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</si>
  <si>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</si>
  <si>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</si>
  <si>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</si>
  <si>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</si>
  <si>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</si>
  <si>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</si>
  <si>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</si>
  <si>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</si>
  <si>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</si>
  <si>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</si>
  <si>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</si>
  <si>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</si>
  <si>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</si>
  <si>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</si>
  <si>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</si>
  <si>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</si>
  <si>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</si>
  <si>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</si>
  <si>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</si>
  <si>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</si>
  <si>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</si>
  <si>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</si>
  <si>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</si>
  <si>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</si>
  <si>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</si>
  <si>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</si>
  <si>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</si>
  <si>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</si>
  <si>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</si>
  <si>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</si>
  <si>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</si>
  <si>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</si>
  <si>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</si>
  <si>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</si>
  <si>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</si>
  <si>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</si>
  <si>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</si>
  <si>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</si>
  <si>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</si>
  <si>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</si>
  <si>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</si>
  <si>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</si>
  <si>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</si>
  <si>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</si>
  <si>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</si>
  <si>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</si>
  <si>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</si>
  <si>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</si>
  <si>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</si>
  <si>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</si>
  <si>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</si>
  <si>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</si>
  <si>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</si>
  <si>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</si>
  <si>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</si>
  <si>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</si>
  <si>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</si>
  <si>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</si>
  <si>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</si>
  <si>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</si>
  <si>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</si>
  <si>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</si>
  <si>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</si>
  <si>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</si>
  <si>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</si>
  <si>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</si>
  <si>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</si>
  <si>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</si>
  <si>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</si>
  <si>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</si>
  <si>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</si>
  <si>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</si>
  <si>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</si>
  <si>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</si>
  <si>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</si>
  <si>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</si>
  <si>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</si>
  <si>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</si>
  <si>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</si>
  <si>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</si>
  <si>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</si>
  <si>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</si>
  <si>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</si>
  <si>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</si>
  <si>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</si>
  <si>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</si>
  <si>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</si>
  <si>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</si>
  <si>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</si>
  <si>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</si>
  <si>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</si>
  <si>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</si>
  <si>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</si>
  <si>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</si>
  <si>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</si>
  <si>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</si>
  <si>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</si>
  <si>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</si>
  <si>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</si>
  <si>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</si>
  <si>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</si>
  <si>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</si>
  <si>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</si>
  <si>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</si>
  <si>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</si>
  <si>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</si>
  <si>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</si>
  <si>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</si>
  <si>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</si>
  <si>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</si>
  <si>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</si>
  <si>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</si>
  <si>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</si>
  <si>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</si>
  <si>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</si>
  <si>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</si>
  <si>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</si>
  <si>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</si>
  <si>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</si>
  <si>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</si>
  <si>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</si>
  <si>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</si>
  <si>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</si>
  <si>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</si>
  <si>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</si>
  <si>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</si>
  <si>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</si>
  <si>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</si>
  <si>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</si>
  <si>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</si>
  <si>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</si>
  <si>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</si>
  <si>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</si>
  <si>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</si>
  <si>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</si>
  <si>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</si>
  <si>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</si>
  <si>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</si>
  <si>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</si>
  <si>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</si>
  <si>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</si>
  <si>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</si>
  <si>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</si>
  <si>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</si>
  <si>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</si>
  <si>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</si>
  <si>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</si>
  <si>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</si>
  <si>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</si>
  <si>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</si>
  <si>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</si>
  <si>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</si>
  <si>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</si>
  <si>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</si>
  <si>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</si>
  <si>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</si>
  <si>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</si>
  <si>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</si>
  <si>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</si>
  <si>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</si>
  <si>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</si>
  <si>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</si>
  <si>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</si>
  <si>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</si>
  <si>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</si>
  <si>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</si>
  <si>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</si>
  <si>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</si>
  <si>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</si>
  <si>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</si>
  <si>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</si>
  <si>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</si>
  <si>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</si>
  <si>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</si>
  <si>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</si>
  <si>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</si>
  <si>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</si>
  <si>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</si>
  <si>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</si>
  <si>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</si>
  <si>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</si>
  <si>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</si>
  <si>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</si>
  <si>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</si>
  <si>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</si>
  <si>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</si>
  <si>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</si>
  <si>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</si>
  <si>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</si>
  <si>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</si>
  <si>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</si>
  <si>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</si>
  <si>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</si>
  <si>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</si>
  <si>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</si>
  <si>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</si>
  <si>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</si>
  <si>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</si>
  <si>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</si>
  <si>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</si>
  <si>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</si>
  <si>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</si>
  <si>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</si>
  <si>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</si>
  <si>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</si>
  <si>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</si>
  <si>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</si>
  <si>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</si>
  <si>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</si>
  <si>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</si>
  <si>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</si>
  <si>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</si>
  <si>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</si>
  <si>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</si>
  <si>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</si>
  <si>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</si>
  <si>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</si>
  <si>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</si>
  <si>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</si>
  <si>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</si>
  <si>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</si>
  <si>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</si>
  <si>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</si>
  <si>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</si>
  <si>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</si>
  <si>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</si>
  <si>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</si>
  <si>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</si>
  <si>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</si>
  <si>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</si>
  <si>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</si>
  <si>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</si>
  <si>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</si>
  <si>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</si>
  <si>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</si>
  <si>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</si>
  <si>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</si>
  <si>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</si>
  <si>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</si>
  <si>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</si>
  <si>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</si>
  <si>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</si>
  <si>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</si>
  <si>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</si>
  <si>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</si>
  <si>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</si>
  <si>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</si>
  <si>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</si>
  <si>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</si>
  <si>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</si>
  <si>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</si>
  <si>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</si>
  <si>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</si>
  <si>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</si>
  <si>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</si>
  <si>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</si>
  <si>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</si>
  <si>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</si>
  <si>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</si>
  <si>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</si>
  <si>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</si>
  <si>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</si>
  <si>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</si>
  <si>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</si>
  <si>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</si>
  <si>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</si>
  <si>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</si>
  <si>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</si>
  <si>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</si>
  <si>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</si>
  <si>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</si>
  <si>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</si>
  <si>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</si>
  <si>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</si>
  <si>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</si>
  <si>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</si>
  <si>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</si>
  <si>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</si>
  <si>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</si>
  <si>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</si>
  <si>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</si>
  <si>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</si>
  <si>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</si>
  <si>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</si>
  <si>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</si>
  <si>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</si>
  <si>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</si>
  <si>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</si>
  <si>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</si>
  <si>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</si>
  <si>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</si>
  <si>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</si>
  <si>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</si>
  <si>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</si>
  <si>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</si>
  <si>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</si>
  <si>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</si>
  <si>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</si>
  <si>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</si>
  <si>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</si>
  <si>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</si>
  <si>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</si>
  <si>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</si>
  <si>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</si>
  <si>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</si>
  <si>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</si>
  <si>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</si>
  <si>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</si>
  <si>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</si>
  <si>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</si>
  <si>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</si>
  <si>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</si>
  <si>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</si>
  <si>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</si>
  <si>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</si>
  <si>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</si>
  <si>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</si>
  <si>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</si>
  <si>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</si>
  <si>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</si>
  <si>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</si>
  <si>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</si>
  <si>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</si>
  <si>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</si>
  <si>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</si>
  <si>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</si>
  <si>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</si>
  <si>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</si>
  <si>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</si>
  <si>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</si>
  <si>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</si>
  <si>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</si>
  <si>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</si>
  <si>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</si>
  <si>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</si>
  <si>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</si>
  <si>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</si>
  <si>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</si>
  <si>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</si>
  <si>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</si>
  <si>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</si>
  <si>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</si>
  <si>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</si>
  <si>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</si>
  <si>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</si>
  <si>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</si>
  <si>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</si>
  <si>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</si>
  <si>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</si>
  <si>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</si>
  <si>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</si>
  <si>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</si>
  <si>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</si>
  <si>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</si>
  <si>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</si>
  <si>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</si>
  <si>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</si>
  <si>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</si>
  <si>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</si>
  <si>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</si>
  <si>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</si>
  <si>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</si>
  <si>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</si>
  <si>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</si>
  <si>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</si>
  <si>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</si>
  <si>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</si>
  <si>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</si>
  <si>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</si>
  <si>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</si>
  <si>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</si>
  <si>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</si>
  <si>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</si>
  <si>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</si>
  <si>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</si>
  <si>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</si>
  <si>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</si>
  <si>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</si>
  <si>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</si>
  <si>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</si>
  <si>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</si>
  <si>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</si>
  <si>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</si>
  <si>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</si>
  <si>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</si>
  <si>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</si>
  <si>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</si>
  <si>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</si>
  <si>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</si>
  <si>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</si>
  <si>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</si>
  <si>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</si>
  <si>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</si>
  <si>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</si>
  <si>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</si>
  <si>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</si>
  <si>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</si>
  <si>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</si>
  <si>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</si>
  <si>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</si>
  <si>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</si>
  <si>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</si>
  <si>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</si>
  <si>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</si>
  <si>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</si>
  <si>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</si>
  <si>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</si>
  <si>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</si>
  <si>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</si>
  <si>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</si>
  <si>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</si>
  <si>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</si>
  <si>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</si>
  <si>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</si>
  <si>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</si>
  <si>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</si>
  <si>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</si>
  <si>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</si>
  <si>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</si>
  <si>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</si>
  <si>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</si>
  <si>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</si>
  <si>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</si>
  <si>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</si>
  <si>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</si>
  <si>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</si>
  <si>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</si>
  <si>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</si>
  <si>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</si>
  <si>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</si>
  <si>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</si>
  <si>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</si>
  <si>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</si>
  <si>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</si>
  <si>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</si>
  <si>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</si>
  <si>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</si>
  <si>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</si>
  <si>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</si>
  <si>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</si>
  <si>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</si>
  <si>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</si>
  <si>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</si>
  <si>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</si>
  <si>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</si>
  <si>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</si>
  <si>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</si>
  <si>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</si>
  <si>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</si>
  <si>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</si>
  <si>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</si>
  <si>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</si>
  <si>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</si>
  <si>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</si>
  <si>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</si>
  <si>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</si>
  <si>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</si>
  <si>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</si>
  <si>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</si>
  <si>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</si>
  <si>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</si>
  <si>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</si>
  <si>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</si>
  <si>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</si>
  <si>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</si>
  <si>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</si>
  <si>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</si>
  <si>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</si>
  <si>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</si>
  <si>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</si>
  <si>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</si>
  <si>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</si>
  <si>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</si>
  <si>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</si>
  <si>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</si>
  <si>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</si>
  <si>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</si>
  <si>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</si>
  <si>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</si>
  <si>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</si>
  <si>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</si>
  <si>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</si>
  <si>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</si>
  <si>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</si>
  <si>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</si>
  <si>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</si>
  <si>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</si>
  <si>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</si>
  <si>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</si>
  <si>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</si>
  <si>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</si>
  <si>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</si>
  <si>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</si>
  <si>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</si>
  <si>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</si>
  <si>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</si>
  <si>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</si>
  <si>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</si>
  <si>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</si>
  <si>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</si>
  <si>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</si>
  <si>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</si>
  <si>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</si>
  <si>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</si>
  <si>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</si>
  <si>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</si>
  <si>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</si>
  <si>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</si>
  <si>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</si>
  <si>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</si>
  <si>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</si>
  <si>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</si>
  <si>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</si>
  <si>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</si>
  <si>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</si>
  <si>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</si>
  <si>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</si>
  <si>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</si>
  <si>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</si>
  <si>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</si>
  <si>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</si>
  <si>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</si>
  <si>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</si>
  <si>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</si>
  <si>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</si>
  <si>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</si>
  <si>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</si>
  <si>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</si>
  <si>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</si>
  <si>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</si>
  <si>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</si>
  <si>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</si>
  <si>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</si>
  <si>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</si>
  <si>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</si>
  <si>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</si>
  <si>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</si>
  <si>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</si>
  <si>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</si>
  <si>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</si>
  <si>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</si>
  <si>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</si>
  <si>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</si>
  <si>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</si>
  <si>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</si>
  <si>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</si>
  <si>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</si>
  <si>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</si>
  <si>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</si>
  <si>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</si>
  <si>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</si>
  <si>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</si>
  <si>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</si>
  <si>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</si>
  <si>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</si>
  <si>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</si>
  <si>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</si>
  <si>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</si>
  <si>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</si>
  <si>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</si>
  <si>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</si>
  <si>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</si>
  <si>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</si>
  <si>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</si>
  <si>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</si>
  <si>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</si>
  <si>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</si>
  <si>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</si>
  <si>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</si>
  <si>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</si>
  <si>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</si>
  <si>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</si>
  <si>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</si>
  <si>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</si>
  <si>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</si>
  <si>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</si>
  <si>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</si>
  <si>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</si>
  <si>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</si>
  <si>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</si>
  <si>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</si>
  <si>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</si>
  <si>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</si>
  <si>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</si>
  <si>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</si>
  <si>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</si>
  <si>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</si>
  <si>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</si>
  <si>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</si>
  <si>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</si>
  <si>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</si>
  <si>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</si>
  <si>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</si>
  <si>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</si>
  <si>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</si>
  <si>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</si>
  <si>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</si>
  <si>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</si>
  <si>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</si>
  <si>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</si>
  <si>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</si>
  <si>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</si>
  <si>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</si>
  <si>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</si>
  <si>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</si>
  <si>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</si>
  <si>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</si>
  <si>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</si>
  <si>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</si>
  <si>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</si>
  <si>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</si>
  <si>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</si>
  <si>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</si>
  <si>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</si>
  <si>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</si>
  <si>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</si>
  <si>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</si>
  <si>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</si>
  <si>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</si>
  <si>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</si>
  <si>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</si>
  <si>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</si>
  <si>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</si>
  <si>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</si>
  <si>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</si>
  <si>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</si>
  <si>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</si>
  <si>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</si>
  <si>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</si>
  <si>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</si>
  <si>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</si>
  <si>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</si>
  <si>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</si>
  <si>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</si>
  <si>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</si>
  <si>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</si>
  <si>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</si>
  <si>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</si>
  <si>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</si>
  <si>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</si>
  <si>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</si>
  <si>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</si>
  <si>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</si>
  <si>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</si>
  <si>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</si>
  <si>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</si>
  <si>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</si>
  <si>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</si>
  <si>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</si>
  <si>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</si>
  <si>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</si>
  <si>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</si>
  <si>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</si>
  <si>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</si>
  <si>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</si>
  <si>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</si>
  <si>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</si>
  <si>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</si>
  <si>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</si>
  <si>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</si>
  <si>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</si>
  <si>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</si>
  <si>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</si>
  <si>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</si>
  <si>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</si>
  <si>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</si>
  <si>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</si>
  <si>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</si>
  <si>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</si>
  <si>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</si>
  <si>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</si>
  <si>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</si>
  <si>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</si>
  <si>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</si>
  <si>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</si>
  <si>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</si>
  <si>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</si>
  <si>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</si>
  <si>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</si>
  <si>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</si>
  <si>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</si>
  <si>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</si>
  <si>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</si>
  <si>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</si>
  <si>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</si>
  <si>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</si>
  <si>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</si>
  <si>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</si>
  <si>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</si>
  <si>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</si>
  <si>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</si>
  <si>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</si>
  <si>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</si>
  <si>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</si>
  <si>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</si>
  <si>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</si>
  <si>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</si>
  <si>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</si>
  <si>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</si>
  <si>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</si>
  <si>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</si>
  <si>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</si>
  <si>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</si>
  <si>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</si>
  <si>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</si>
  <si>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</si>
  <si>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</si>
  <si>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</si>
  <si>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</si>
  <si>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</si>
  <si>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</si>
  <si>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</si>
  <si>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</si>
  <si>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</si>
  <si>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</si>
  <si>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</si>
  <si>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</si>
  <si>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</si>
  <si>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</si>
  <si>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</si>
  <si>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</si>
  <si>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</si>
  <si>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</si>
  <si>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</si>
  <si>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</si>
  <si>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</si>
  <si>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</si>
  <si>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</si>
  <si>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</si>
  <si>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</si>
  <si>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</si>
  <si>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</si>
  <si>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</si>
  <si>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</si>
  <si>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</si>
  <si>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</si>
  <si>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</si>
  <si>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</si>
  <si>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</si>
  <si>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</si>
  <si>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</si>
  <si>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</si>
  <si>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</si>
  <si>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</si>
  <si>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</si>
  <si>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</si>
  <si>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</si>
  <si>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</si>
  <si>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</si>
  <si>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</si>
  <si>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</si>
  <si>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</si>
  <si>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</si>
  <si>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</si>
  <si>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</si>
  <si>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</si>
  <si>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</si>
  <si>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</si>
  <si>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</si>
  <si>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</si>
  <si>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</si>
  <si>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</si>
  <si>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</si>
  <si>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</si>
  <si>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</si>
  <si>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</si>
  <si>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</si>
  <si>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</si>
  <si>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</si>
  <si>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</si>
  <si>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</si>
  <si>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</si>
  <si>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</si>
  <si>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</si>
  <si>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</si>
  <si>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</si>
  <si>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</si>
  <si>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</si>
  <si>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</si>
  <si>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</si>
  <si>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</si>
  <si>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</si>
  <si>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</si>
  <si>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</si>
  <si>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</si>
  <si>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</si>
  <si>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</si>
  <si>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</si>
  <si>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</si>
  <si>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</si>
  <si>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</si>
  <si>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</si>
  <si>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</si>
  <si>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</si>
  <si>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</si>
  <si>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</si>
  <si>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</si>
  <si>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</si>
  <si>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</si>
  <si>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</si>
  <si>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</si>
  <si>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</si>
  <si>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</si>
  <si>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</si>
  <si>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</si>
  <si>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</si>
  <si>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</si>
  <si>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</si>
  <si>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</si>
  <si>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</si>
  <si>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</si>
  <si>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</si>
  <si>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</si>
  <si>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</si>
  <si>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</si>
  <si>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</si>
  <si>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</si>
  <si>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</si>
  <si>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</si>
  <si>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</si>
  <si>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</si>
  <si>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</si>
  <si>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</si>
  <si>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</si>
  <si>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</si>
  <si>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</si>
  <si>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</si>
  <si>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</si>
  <si>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</si>
  <si>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</si>
  <si>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</si>
  <si>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</si>
  <si>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</si>
  <si>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</si>
  <si>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</si>
  <si>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</si>
  <si>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</si>
  <si>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</si>
  <si>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</si>
  <si>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</si>
  <si>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</si>
  <si>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</si>
  <si>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</si>
  <si>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</si>
  <si>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</si>
  <si>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</si>
  <si>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</si>
  <si>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</si>
  <si>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</si>
  <si>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</si>
  <si>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</si>
  <si>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</si>
  <si>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</si>
  <si>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</si>
  <si>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</si>
  <si>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</si>
  <si>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</si>
  <si>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</si>
  <si>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</si>
  <si>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</si>
  <si>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</si>
  <si>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</si>
  <si>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</si>
  <si>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</si>
  <si>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</si>
  <si>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</si>
  <si>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</si>
  <si>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</si>
  <si>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</si>
  <si>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</si>
  <si>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</si>
  <si>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</si>
  <si>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</si>
  <si>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</si>
  <si>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</si>
  <si>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</si>
  <si>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</si>
  <si>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</si>
  <si>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</si>
  <si>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</si>
  <si>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</si>
  <si>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</si>
  <si>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</si>
  <si>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</si>
  <si>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</si>
  <si>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</si>
  <si>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</si>
  <si>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</si>
  <si>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</si>
  <si>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</si>
  <si>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</si>
  <si>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</si>
  <si>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</si>
  <si>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</si>
  <si>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</si>
  <si>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</si>
  <si>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</si>
  <si>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</si>
  <si>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</si>
  <si>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</si>
  <si>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</si>
  <si>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</si>
  <si>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</si>
  <si>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</si>
  <si>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</si>
  <si>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</si>
  <si>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</si>
  <si>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</si>
  <si>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</si>
  <si>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</si>
  <si>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</si>
  <si>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</si>
  <si>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</si>
  <si>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</si>
  <si>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</si>
  <si>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</si>
  <si>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</si>
  <si>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</si>
  <si>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</si>
  <si>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</si>
  <si>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</si>
  <si>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</si>
  <si>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</si>
  <si>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</si>
  <si>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</si>
  <si>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</si>
  <si>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</si>
  <si>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</si>
  <si>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</si>
  <si>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</si>
  <si>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</si>
  <si>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</si>
  <si>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</si>
  <si>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</si>
  <si>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</si>
  <si>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</si>
  <si>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</si>
  <si>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</si>
  <si>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</si>
  <si>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</si>
  <si>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</si>
  <si>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</si>
  <si>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</si>
  <si>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</si>
  <si>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</si>
  <si>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</si>
  <si>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</si>
  <si>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</si>
  <si>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</si>
  <si>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</si>
  <si>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</si>
  <si>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</si>
  <si>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</si>
  <si>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</si>
  <si>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</si>
  <si>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</si>
  <si>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</si>
  <si>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</si>
  <si>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</si>
  <si>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</si>
  <si>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</si>
  <si>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</si>
  <si>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</si>
  <si>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</si>
  <si>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</si>
  <si>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</si>
  <si>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</si>
  <si>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</si>
  <si>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</si>
  <si>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</si>
  <si>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</si>
  <si>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</si>
  <si>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</si>
  <si>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</si>
  <si>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</si>
  <si>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</si>
  <si>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</si>
  <si>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</si>
  <si>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</si>
  <si>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</si>
  <si>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</si>
  <si>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</si>
  <si>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</si>
  <si>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</si>
  <si>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</si>
  <si>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</si>
  <si>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</si>
  <si>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</si>
  <si>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</si>
  <si>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</si>
  <si>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</si>
  <si>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</si>
  <si>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</si>
  <si>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</si>
  <si>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</si>
  <si>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</si>
  <si>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</si>
  <si>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</si>
  <si>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</si>
  <si>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</si>
  <si>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</si>
  <si>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</si>
  <si>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</si>
  <si>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</si>
  <si>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</si>
  <si>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</si>
  <si>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</si>
  <si>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</si>
  <si>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</si>
  <si>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</si>
  <si>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</si>
  <si>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</si>
  <si>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</si>
  <si>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</si>
  <si>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</si>
  <si>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</si>
  <si>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</si>
  <si>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</si>
  <si>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</si>
  <si>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</si>
  <si>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</si>
  <si>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</si>
  <si>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</si>
  <si>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</si>
  <si>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</si>
  <si>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</si>
  <si>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</si>
  <si>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</si>
  <si>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</si>
  <si>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</si>
  <si>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</si>
  <si>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</si>
  <si>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</si>
  <si>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</si>
  <si>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</si>
  <si>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</si>
  <si>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</si>
  <si>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</si>
  <si>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</si>
  <si>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</si>
  <si>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</si>
  <si>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</si>
  <si>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</si>
  <si>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</si>
  <si>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</si>
  <si>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</si>
  <si>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</si>
  <si>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</si>
  <si>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</si>
  <si>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</si>
  <si>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</si>
  <si>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</si>
  <si>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</si>
  <si>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</si>
  <si>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</si>
  <si>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</si>
  <si>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</si>
  <si>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</si>
  <si>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</si>
  <si>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</si>
  <si>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</si>
  <si>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</si>
  <si>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</si>
  <si>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</si>
  <si>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</si>
  <si>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</si>
  <si>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</si>
  <si>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</si>
  <si>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</si>
  <si>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</si>
  <si>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</si>
  <si>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</si>
  <si>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</si>
  <si>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</si>
  <si>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</si>
  <si>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</si>
  <si>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</si>
  <si>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</si>
  <si>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</si>
  <si>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</si>
  <si>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</si>
  <si>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</si>
  <si>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</si>
  <si>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</si>
  <si>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</si>
  <si>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</si>
  <si>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</si>
  <si>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</si>
  <si>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</si>
  <si>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</si>
  <si>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</si>
  <si>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</si>
  <si>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</si>
  <si>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</si>
  <si>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</si>
  <si>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</si>
  <si>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</si>
  <si>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</si>
  <si>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</si>
  <si>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</si>
  <si>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</si>
  <si>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</si>
  <si>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</si>
  <si>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</si>
  <si>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</si>
  <si>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</si>
  <si>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</si>
  <si>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</si>
  <si>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</si>
  <si>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</si>
  <si>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</si>
  <si>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</si>
  <si>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</si>
  <si>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</si>
  <si>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</si>
  <si>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</si>
  <si>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</si>
  <si>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</si>
  <si>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</si>
  <si>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</si>
  <si>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</si>
  <si>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</si>
  <si>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</si>
  <si>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</si>
  <si>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</si>
  <si>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</si>
  <si>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</si>
  <si>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</si>
  <si>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</si>
  <si>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</si>
  <si>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</si>
  <si>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</si>
  <si>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</si>
  <si>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</si>
  <si>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</si>
  <si>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</si>
  <si>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</si>
  <si>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</si>
  <si>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</si>
  <si>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</si>
  <si>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</si>
  <si>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</si>
  <si>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</si>
  <si>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</si>
  <si>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</si>
  <si>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</si>
  <si>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</si>
  <si>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</si>
  <si>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</si>
  <si>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</si>
  <si>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</si>
  <si>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</si>
  <si>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</si>
  <si>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</si>
  <si>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set3_tmnt_001</t>
  </si>
  <si>
    <t>c1</t>
  </si>
  <si>
    <t>c2</t>
  </si>
  <si>
    <t>c3</t>
  </si>
  <si>
    <t>c4</t>
  </si>
  <si>
    <t>c5</t>
  </si>
  <si>
    <t>c6</t>
  </si>
  <si>
    <t>c7</t>
  </si>
  <si>
    <t>c8</t>
  </si>
  <si>
    <t>c9</t>
  </si>
  <si>
    <t>c10</t>
  </si>
  <si>
    <t>c11</t>
  </si>
  <si>
    <t>c12</t>
  </si>
  <si>
    <t>c13</t>
  </si>
  <si>
    <t>c14</t>
  </si>
  <si>
    <t>c15</t>
  </si>
  <si>
    <t>c16</t>
  </si>
  <si>
    <t>c17</t>
  </si>
  <si>
    <t>c18</t>
  </si>
  <si>
    <t>c19</t>
  </si>
  <si>
    <t>Термонаклейка набор Лего Lego</t>
  </si>
  <si>
    <t>Термонаклейка набор Тачки Cars в1</t>
  </si>
  <si>
    <t>Термонаклейка набор Покемоны Pokemon 2D</t>
  </si>
  <si>
    <t>Термонаклейка набор Миньоны Minions 3D в1</t>
  </si>
  <si>
    <t>Термонаклейка номер большая черная цифра 0</t>
  </si>
  <si>
    <t>Термонаклейка номер большая черная цифра 1</t>
  </si>
  <si>
    <t>Термонаклейка номер большая черная цифра 2</t>
  </si>
  <si>
    <t>Термонаклейка номер большая черная цифра 3</t>
  </si>
  <si>
    <t>Термонаклейка номер большая черная цифра 4</t>
  </si>
  <si>
    <t>Термонаклейка номер большая белая цифра 9</t>
  </si>
  <si>
    <t>Термонаклейка номер большая белая цифра 8</t>
  </si>
  <si>
    <t>Термонаклейка номер большая белая цифра 7</t>
  </si>
  <si>
    <t>Термонаклейка номер большая белая цифра 6</t>
  </si>
  <si>
    <t>Термонаклейка номер большая белая цифра 5</t>
  </si>
  <si>
    <t>Термонаклейка номер большая белая цифра 4</t>
  </si>
  <si>
    <t>Термонаклейка номер большая белая цифра 3</t>
  </si>
  <si>
    <t>Термонаклейка номер большая белая цифра 2</t>
  </si>
  <si>
    <t>Термонаклейка номер большая белая цифра 1</t>
  </si>
  <si>
    <t>Термонаклейка номер большая белая цифра 0</t>
  </si>
  <si>
    <t>Термонаклейка номер большая черная цифра 9</t>
  </si>
  <si>
    <t>Термонаклейка номер большая черная цифра 8</t>
  </si>
  <si>
    <t>Термонаклейка номер большая черная цифра 7</t>
  </si>
  <si>
    <t>Термонаклейка номер большая черная цифра 6</t>
  </si>
  <si>
    <t>Термонаклейка номер большая черная цифра 5</t>
  </si>
  <si>
    <t>Термонаклейка набор Майнкрафт Minecraft в1</t>
  </si>
  <si>
    <t>Термонаклейка набор Тачки Hot Wheels</t>
  </si>
  <si>
    <t>Термонаклейка набор Космос Космонавтика</t>
  </si>
  <si>
    <t>Термонаклейка набор Человек-Паук Spider-man 2D в1</t>
  </si>
  <si>
    <t xml:space="preserve">Термонаклейка набор Человек-Паук Майлс New spider-man </t>
  </si>
  <si>
    <t>Термонаклейка набор Милые Котики в1</t>
  </si>
  <si>
    <t>Термонаклейка набор Соник ёжик Sonic 2D в1</t>
  </si>
  <si>
    <t>Термонаклейка набор Соник ёжик Sonic 3D в1</t>
  </si>
  <si>
    <t>Термонаклейка набор Лило и Стич в1</t>
  </si>
  <si>
    <t>Термонаклейка набор Хеллоу Китти Hello Kitty в1</t>
  </si>
  <si>
    <t>Термонаклейка набор Человек-Паук cartoon</t>
  </si>
  <si>
    <t>Термонаклейка набор Черепашки ниндзя turtles TMNT в2</t>
  </si>
  <si>
    <t>Термонаклейка набор Том и Джерри Tom and Jerry 2D в2</t>
  </si>
  <si>
    <t>Термонаклейка набор Губка Боб Спанч Боб Sponge Bob в1</t>
  </si>
  <si>
    <t>Термонаклейка набор Лабубу Labubu</t>
  </si>
  <si>
    <t>https://raw.githubusercontent.com/maxuzkikh/Ozon_upload/refs/heads/main/images/А4/set_numbers/numbers_black/</t>
  </si>
  <si>
    <t>https://raw.githubusercontent.com/maxuzkikh/Ozon_upload/refs/heads/main/images/А4/set_numbers/numbers_white/</t>
  </si>
  <si>
    <t>https://raw.githubusercontent.com/maxuzkikh/Ozon_upload/refs/heads/main/images/А4/set_cartoon_boundles/</t>
  </si>
  <si>
    <t>set3_Sponge_Bob</t>
  </si>
  <si>
    <t>set3_tom_and_jerry1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</si>
</sst>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70">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xf numFmtId="0" fontId="0" fillId="0"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8</xdr:col>
      <xdr:colOff>392097</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C674" zoomScale="110" zoomScaleNormal="110" workbookViewId="0">
      <selection activeCell="E697" sqref="E697"/>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91.710937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3114</v>
      </c>
      <c r="B671" s="57"/>
      <c r="C671" s="58" t="s">
        <v>3034</v>
      </c>
      <c r="D671" s="59" t="str">
        <f>CONCATENATE("Documents\GitHub\Ozon_upload\barcode\punky monkey\set_numbers\numbers_black\", A671, ".pdf")</f>
        <v>Documents\GitHub\Ozon_upload\barcode\punky monkey\set_numbers\numbers_black\Термонаклейка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69" t="s">
        <v>3149</v>
      </c>
      <c r="I671" s="62" t="s">
        <v>3054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3115</v>
      </c>
      <c r="B672" s="57"/>
      <c r="C672" s="57" t="s">
        <v>3035</v>
      </c>
      <c r="D672" s="59" t="str">
        <f t="shared" ref="D672:D680" si="30">CONCATENATE("Documents\GitHub\Ozon_upload\barcode\punky monkey\set_numbers\numbers_black\", A672, ".pdf")</f>
        <v>Documents\GitHub\Ozon_upload\barcode\punky monkey\set_numbers\numbers_black\Термонаклейка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t="s">
        <v>3149</v>
      </c>
      <c r="I672" s="62" t="s">
        <v>3055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3116</v>
      </c>
      <c r="B673" s="57"/>
      <c r="C673" s="57" t="s">
        <v>3036</v>
      </c>
      <c r="D673" s="59" t="str">
        <f t="shared" si="30"/>
        <v>Documents\GitHub\Ozon_upload\barcode\punky monkey\set_numbers\numbers_black\Термонаклейка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t="s">
        <v>3149</v>
      </c>
      <c r="I673" s="62" t="s">
        <v>3056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3117</v>
      </c>
      <c r="B674" s="57"/>
      <c r="C674" s="57" t="s">
        <v>3037</v>
      </c>
      <c r="D674" s="59" t="str">
        <f t="shared" si="30"/>
        <v>Documents\GitHub\Ozon_upload\barcode\punky monkey\set_numbers\numbers_black\Термонаклейка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t="s">
        <v>3149</v>
      </c>
      <c r="I674" s="62" t="s">
        <v>3057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3118</v>
      </c>
      <c r="B675" s="57"/>
      <c r="C675" s="57" t="s">
        <v>3038</v>
      </c>
      <c r="D675" s="59" t="str">
        <f t="shared" si="30"/>
        <v>Documents\GitHub\Ozon_upload\barcode\punky monkey\set_numbers\numbers_black\Термонаклейка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t="s">
        <v>3149</v>
      </c>
      <c r="I675" s="62" t="s">
        <v>3058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3133</v>
      </c>
      <c r="B676" s="57"/>
      <c r="C676" s="57" t="s">
        <v>3039</v>
      </c>
      <c r="D676" s="59" t="str">
        <f t="shared" si="30"/>
        <v>Documents\GitHub\Ozon_upload\barcode\punky monkey\set_numbers\numbers_black\Термонаклейка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t="s">
        <v>3149</v>
      </c>
      <c r="I676" s="62" t="s">
        <v>3059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3132</v>
      </c>
      <c r="B677" s="57"/>
      <c r="C677" s="57" t="s">
        <v>3040</v>
      </c>
      <c r="D677" s="59" t="str">
        <f t="shared" si="30"/>
        <v>Documents\GitHub\Ozon_upload\barcode\punky monkey\set_numbers\numbers_black\Термонаклейка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t="s">
        <v>3149</v>
      </c>
      <c r="I677" s="62" t="s">
        <v>3060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3131</v>
      </c>
      <c r="B678" s="57"/>
      <c r="C678" s="57" t="s">
        <v>3041</v>
      </c>
      <c r="D678" s="59" t="str">
        <f t="shared" si="30"/>
        <v>Documents\GitHub\Ozon_upload\barcode\punky monkey\set_numbers\numbers_black\Термонаклейка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t="s">
        <v>3149</v>
      </c>
      <c r="I678" s="62" t="s">
        <v>3061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3130</v>
      </c>
      <c r="B679" s="57"/>
      <c r="C679" s="57" t="s">
        <v>3042</v>
      </c>
      <c r="D679" s="59" t="str">
        <f t="shared" si="30"/>
        <v>Documents\GitHub\Ozon_upload\barcode\punky monkey\set_numbers\numbers_black\Термонаклейка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t="s">
        <v>3149</v>
      </c>
      <c r="I679" s="62" t="s">
        <v>3062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3129</v>
      </c>
      <c r="B680" s="57"/>
      <c r="C680" s="57" t="s">
        <v>3043</v>
      </c>
      <c r="D680" s="59" t="str">
        <f t="shared" si="30"/>
        <v>Documents\GitHub\Ozon_upload\barcode\punky monkey\set_numbers\numbers_black\Термонаклейка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69" t="s">
        <v>3149</v>
      </c>
      <c r="I680" s="62" t="s">
        <v>3063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3128</v>
      </c>
      <c r="B681" s="57"/>
      <c r="C681" s="57" t="s">
        <v>3044</v>
      </c>
      <c r="D681" s="59" t="str">
        <f>CONCATENATE("Documents\GitHub\Ozon_upload\barcode\punky monkey\set_numbers\numbers_white\", A681, ".pdf")</f>
        <v>Documents\GitHub\Ozon_upload\barcode\punky monkey\set_numbers\numbers_white\Термонаклейка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69" t="s">
        <v>3150</v>
      </c>
      <c r="I681" s="62" t="s">
        <v>3064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3127</v>
      </c>
      <c r="B682" s="57"/>
      <c r="C682" s="57" t="s">
        <v>3045</v>
      </c>
      <c r="D682" s="59" t="str">
        <f t="shared" ref="D682:D690" si="31">CONCATENATE("Documents\GitHub\Ozon_upload\barcode\punky monkey\set_numbers\numbers_white\", A682, ".pdf")</f>
        <v>Documents\GitHub\Ozon_upload\barcode\punky monkey\set_numbers\numbers_white\Термонаклейка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69" t="s">
        <v>3150</v>
      </c>
      <c r="I682" s="62" t="s">
        <v>3065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3126</v>
      </c>
      <c r="B683" s="57"/>
      <c r="C683" s="57" t="s">
        <v>3046</v>
      </c>
      <c r="D683" s="59" t="str">
        <f t="shared" si="31"/>
        <v>Documents\GitHub\Ozon_upload\barcode\punky monkey\set_numbers\numbers_white\Термонаклейка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69" t="s">
        <v>3150</v>
      </c>
      <c r="I683" s="62" t="s">
        <v>3066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3125</v>
      </c>
      <c r="B684" s="57"/>
      <c r="C684" s="57" t="s">
        <v>3047</v>
      </c>
      <c r="D684" s="59" t="str">
        <f t="shared" si="31"/>
        <v>Documents\GitHub\Ozon_upload\barcode\punky monkey\set_numbers\numbers_white\Термонаклейка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69" t="s">
        <v>3150</v>
      </c>
      <c r="I684" s="62" t="s">
        <v>3067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3124</v>
      </c>
      <c r="B685" s="57"/>
      <c r="C685" s="57" t="s">
        <v>3048</v>
      </c>
      <c r="D685" s="59" t="str">
        <f t="shared" si="31"/>
        <v>Documents\GitHub\Ozon_upload\barcode\punky monkey\set_numbers\numbers_white\Термонаклейка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69" t="s">
        <v>3150</v>
      </c>
      <c r="I685" s="62" t="s">
        <v>3068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3123</v>
      </c>
      <c r="B686" s="57"/>
      <c r="C686" s="57" t="s">
        <v>3049</v>
      </c>
      <c r="D686" s="59" t="str">
        <f t="shared" si="31"/>
        <v>Documents\GitHub\Ozon_upload\barcode\punky monkey\set_numbers\numbers_white\Термонаклейка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69" t="s">
        <v>3150</v>
      </c>
      <c r="I686" s="62" t="s">
        <v>3069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3122</v>
      </c>
      <c r="B687" s="57"/>
      <c r="C687" s="57" t="s">
        <v>3050</v>
      </c>
      <c r="D687" s="59" t="str">
        <f t="shared" si="31"/>
        <v>Documents\GitHub\Ozon_upload\barcode\punky monkey\set_numbers\numbers_white\Термонаклейка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69" t="s">
        <v>3150</v>
      </c>
      <c r="I687" s="62" t="s">
        <v>3070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3121</v>
      </c>
      <c r="B688" s="57"/>
      <c r="C688" s="57" t="s">
        <v>3051</v>
      </c>
      <c r="D688" s="59" t="str">
        <f t="shared" si="31"/>
        <v>Documents\GitHub\Ozon_upload\barcode\punky monkey\set_numbers\numbers_white\Термонаклейка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69" t="s">
        <v>3150</v>
      </c>
      <c r="I688" s="62" t="s">
        <v>3071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3120</v>
      </c>
      <c r="B689" s="57"/>
      <c r="C689" s="57" t="s">
        <v>3052</v>
      </c>
      <c r="D689" s="59" t="str">
        <f t="shared" si="31"/>
        <v>Documents\GitHub\Ozon_upload\barcode\punky monkey\set_numbers\numbers_white\Термонаклейка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69" t="s">
        <v>3150</v>
      </c>
      <c r="I689" s="62" t="s">
        <v>3072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3119</v>
      </c>
      <c r="B690" s="57"/>
      <c r="C690" s="57" t="s">
        <v>3053</v>
      </c>
      <c r="D690" s="59" t="str">
        <f t="shared" si="31"/>
        <v>Documents\GitHub\Ozon_upload\barcode\punky monkey\set_numbers\numbers_white\Термонаклейка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69" t="s">
        <v>3150</v>
      </c>
      <c r="I690" s="62" t="s">
        <v>3073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3148</v>
      </c>
      <c r="B691" s="63"/>
      <c r="C691" s="63" t="s">
        <v>3074</v>
      </c>
      <c r="D691" s="64" t="str">
        <f>CONCATENATE("Documents\GitHub\Ozon_upload\barcode\punky monkey\set_cartoon_boundles\", A691, ".pdf")</f>
        <v>Documents\GitHub\Ozon_upload\barcode\punky monkey\set_cartoon_boundles\Термонаклейка набор Лабубу Labubu.pdf</v>
      </c>
      <c r="E691" s="65" t="str">
        <f>CONCATENATE("C:\Users\",username!A297,"\Documents\GitHub\Ozon_upload\DTF_images\max\A4\set_cartoon_boundles\",C691,".tif")</f>
        <v>C:\Users\maxim\Documents\GitHub\Ozon_upload\DTF_images\max\A4\set_cartoon_boundles\set3_002_labubu.tif</v>
      </c>
      <c r="F691" s="67">
        <v>1</v>
      </c>
      <c r="G691" s="67">
        <v>1</v>
      </c>
      <c r="H691" s="69" t="s">
        <v>3151</v>
      </c>
      <c r="I691" s="66" t="s">
        <v>3091</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3142</v>
      </c>
      <c r="B692" s="63"/>
      <c r="C692" s="63" t="s">
        <v>3075</v>
      </c>
      <c r="D692" s="64" t="str">
        <f t="shared" ref="D692:D709" si="32">CONCATENATE("Documents\GitHub\Ozon_upload\barcode\punky monkey\set_cartoon_boundles\", A692, ".pdf")</f>
        <v>Documents\GitHub\Ozon_upload\barcode\punky monkey\set_cartoon_boundles\Термонаклейка набор Лило и Стич в1.pdf</v>
      </c>
      <c r="E692" s="65" t="str">
        <f>CONCATENATE("C:\Users\",username!A298,"\Documents\GitHub\Ozon_upload\DTF_images\max\A4\set_cartoon_boundles\",C692,".tif")</f>
        <v>C:\Users\maxim\Documents\GitHub\Ozon_upload\DTF_images\max\A4\set_cartoon_boundles\set3_004_stitch.tif</v>
      </c>
      <c r="F692" s="67">
        <v>1</v>
      </c>
      <c r="G692" s="67">
        <v>1</v>
      </c>
      <c r="H692" s="69" t="s">
        <v>3151</v>
      </c>
      <c r="I692" s="66" t="s">
        <v>3092</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3140</v>
      </c>
      <c r="B693" s="63"/>
      <c r="C693" s="63" t="s">
        <v>3077</v>
      </c>
      <c r="D693" s="64" t="str">
        <f t="shared" si="32"/>
        <v>Documents\GitHub\Ozon_upload\barcode\punky monkey\set_cartoon_boundles\Термонаклейка набор Соник ёжик Sonic 2D в1.pdf</v>
      </c>
      <c r="E693" s="65" t="str">
        <f>CONCATENATE("C:\Users\",username!A299,"\Documents\GitHub\Ozon_upload\DTF_images\max\A4\set_cartoon_boundles\",C693,".tif")</f>
        <v>C:\Users\maxim\Documents\GitHub\Ozon_upload\DTF_images\max\A4\set_cartoon_boundles\set3_008_sonic2D.tif</v>
      </c>
      <c r="F693" s="67">
        <v>1</v>
      </c>
      <c r="G693" s="67">
        <v>1</v>
      </c>
      <c r="H693" s="69" t="s">
        <v>3151</v>
      </c>
      <c r="I693" s="66" t="s">
        <v>3094</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3135</v>
      </c>
      <c r="B694" s="63"/>
      <c r="C694" s="63" t="s">
        <v>3082</v>
      </c>
      <c r="D694" s="64" t="str">
        <f t="shared" si="32"/>
        <v>Documents\GitHub\Ozon_upload\barcode\punky monkey\set_cartoon_boundles\Термонаклейка набор Тачки Hot Wheels.pdf</v>
      </c>
      <c r="E694" s="65" t="str">
        <f>CONCATENATE("C:\Users\",username!A300,"\Documents\GitHub\Ozon_upload\DTF_images\max\A4\set_cartoon_boundles\",C694,".tif")</f>
        <v>C:\Users\maxim\Documents\GitHub\Ozon_upload\DTF_images\max\A4\set_cartoon_boundles\set3_019_hotwheels.tif</v>
      </c>
      <c r="F694" s="67">
        <v>1</v>
      </c>
      <c r="G694" s="67">
        <v>1</v>
      </c>
      <c r="H694" s="69" t="s">
        <v>3151</v>
      </c>
      <c r="I694" s="66" t="s">
        <v>3099</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3138</v>
      </c>
      <c r="B695" s="63"/>
      <c r="C695" s="63" t="s">
        <v>3079</v>
      </c>
      <c r="D695" s="64" t="str">
        <f t="shared" si="32"/>
        <v>Documents\GitHub\Ozon_upload\barcode\punky monkey\set_cartoon_boundles\Термонаклейка набор Человек-Паук Майлс New spider-man .pdf</v>
      </c>
      <c r="E695" s="65" t="str">
        <f>CONCATENATE("C:\Users\",username!A301,"\Documents\GitHub\Ozon_upload\DTF_images\max\A4\set_cartoon_boundles\",C695,".tif")</f>
        <v>C:\Users\maxim\Documents\GitHub\Ozon_upload\DTF_images\max\A4\set_cartoon_boundles\set3_010_spiderNew.tif</v>
      </c>
      <c r="F695" s="67">
        <v>1</v>
      </c>
      <c r="G695" s="67">
        <v>1</v>
      </c>
      <c r="H695" s="69" t="s">
        <v>3151</v>
      </c>
      <c r="I695" s="66" t="s">
        <v>3096</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3139</v>
      </c>
      <c r="B696" s="63"/>
      <c r="C696" s="63" t="s">
        <v>3080</v>
      </c>
      <c r="D696" s="64" t="str">
        <f t="shared" si="32"/>
        <v>Documents\GitHub\Ozon_upload\barcode\punky monkey\set_cartoon_boundles\Термонаклейка набор Милые Котики в1.pdf</v>
      </c>
      <c r="E696" s="65" t="str">
        <f>CONCATENATE("C:\Users\",username!A302,"\Documents\GitHub\Ozon_upload\DTF_images\max\A4\set_cartoon_boundles\",C696,".tif")</f>
        <v>C:\Users\maxim\Documents\GitHub\Ozon_upload\DTF_images\max\A4\set_cartoon_boundles\set3_011_cats.tif</v>
      </c>
      <c r="F696" s="67">
        <v>1</v>
      </c>
      <c r="G696" s="67">
        <v>1</v>
      </c>
      <c r="H696" s="69" t="s">
        <v>3151</v>
      </c>
      <c r="I696" s="66" t="s">
        <v>3097</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3110</v>
      </c>
      <c r="B697" s="63"/>
      <c r="C697" s="63" t="s">
        <v>3081</v>
      </c>
      <c r="D697" s="64" t="str">
        <f t="shared" si="32"/>
        <v>Documents\GitHub\Ozon_upload\barcode\punky monkey\set_cartoon_boundles\Термонаклейка набор Лего Lego.pdf</v>
      </c>
      <c r="E697" s="65" t="str">
        <f>CONCATENATE("C:\Users\",username!A303,"\Documents\GitHub\Ozon_upload\DTF_images\max\A4\set_cartoon_boundles\",C697,".tif")</f>
        <v>C:\Users\maxim\Documents\GitHub\Ozon_upload\DTF_images\max\A4\set_cartoon_boundles\set3_017_lego.tif</v>
      </c>
      <c r="F697" s="67">
        <v>1</v>
      </c>
      <c r="G697" s="67">
        <v>1</v>
      </c>
      <c r="H697" s="69" t="s">
        <v>3151</v>
      </c>
      <c r="I697" s="66" t="s">
        <v>3098</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3111</v>
      </c>
      <c r="B698" s="63"/>
      <c r="C698" s="63" t="s">
        <v>3083</v>
      </c>
      <c r="D698" s="64" t="str">
        <f t="shared" si="32"/>
        <v>Documents\GitHub\Ozon_upload\barcode\punky monkey\set_cartoon_boundles\Термонаклейка набор Тачки Cars в1.pdf</v>
      </c>
      <c r="E698" s="65" t="str">
        <f>CONCATENATE("C:\Users\",username!A304,"\Documents\GitHub\Ozon_upload\DTF_images\max\A4\set_cartoon_boundles\",C698,".tif")</f>
        <v>C:\Users\maxim\Documents\GitHub\Ozon_upload\DTF_images\max\A4\set_cartoon_boundles\set3_020_car.tif</v>
      </c>
      <c r="F698" s="67">
        <v>1</v>
      </c>
      <c r="G698" s="67">
        <v>1</v>
      </c>
      <c r="H698" s="69" t="s">
        <v>3151</v>
      </c>
      <c r="I698" s="66" t="s">
        <v>3100</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3143</v>
      </c>
      <c r="B699" s="63"/>
      <c r="C699" s="63" t="s">
        <v>3084</v>
      </c>
      <c r="D699" s="64" t="str">
        <f t="shared" si="32"/>
        <v>Documents\GitHub\Ozon_upload\barcode\punky monkey\set_cartoon_boundles\Термонаклейка набор Хеллоу Китти Hello Kitty в1.pdf</v>
      </c>
      <c r="E699" s="65" t="str">
        <f>CONCATENATE("C:\Users\",username!A305,"\Documents\GitHub\Ozon_upload\DTF_images\max\A4\set_cartoon_boundles\",C699,".tif")</f>
        <v>C:\Users\maxim\Documents\GitHub\Ozon_upload\DTF_images\max\A4\set_cartoon_boundles\set3_022_kitty.tif</v>
      </c>
      <c r="F699" s="67">
        <v>1</v>
      </c>
      <c r="G699" s="67">
        <v>1</v>
      </c>
      <c r="H699" s="69" t="s">
        <v>3151</v>
      </c>
      <c r="I699" s="66" t="s">
        <v>3101</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3112</v>
      </c>
      <c r="B700" s="63"/>
      <c r="C700" s="63" t="s">
        <v>3085</v>
      </c>
      <c r="D700" s="64" t="str">
        <f t="shared" si="32"/>
        <v>Documents\GitHub\Ozon_upload\barcode\punky monkey\set_cartoon_boundles\Термонаклейка набор Покемоны Pokemon 2D.pdf</v>
      </c>
      <c r="E700" s="65" t="str">
        <f>CONCATENATE("C:\Users\",username!A306,"\Documents\GitHub\Ozon_upload\DTF_images\max\A4\set_cartoon_boundles\",C700,".tif")</f>
        <v>C:\Users\maxim\Documents\GitHub\Ozon_upload\DTF_images\max\A4\set_cartoon_boundles\set3_025_pokemon.tif</v>
      </c>
      <c r="F700" s="67">
        <v>1</v>
      </c>
      <c r="G700" s="67">
        <v>1</v>
      </c>
      <c r="H700" s="69" t="s">
        <v>3151</v>
      </c>
      <c r="I700" s="66" t="s">
        <v>3102</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3134</v>
      </c>
      <c r="B701" s="63"/>
      <c r="C701" s="63" t="s">
        <v>3086</v>
      </c>
      <c r="D701" s="64" t="str">
        <f t="shared" si="32"/>
        <v>Documents\GitHub\Ozon_upload\barcode\punky monkey\set_cartoon_boundles\Термонаклейка набор Майнкрафт Minecraft в1.pdf</v>
      </c>
      <c r="E701" s="65" t="str">
        <f>CONCATENATE("C:\Users\",username!A307,"\Documents\GitHub\Ozon_upload\DTF_images\max\A4\set_cartoon_boundles\",C701,".tif")</f>
        <v>C:\Users\maxim\Documents\GitHub\Ozon_upload\DTF_images\max\A4\set_cartoon_boundles\set3_minecraft1.tif</v>
      </c>
      <c r="F701" s="67">
        <v>1</v>
      </c>
      <c r="G701" s="67">
        <v>1</v>
      </c>
      <c r="H701" s="69" t="s">
        <v>3151</v>
      </c>
      <c r="I701" s="66" t="s">
        <v>3103</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3113</v>
      </c>
      <c r="B702" s="63"/>
      <c r="C702" s="63" t="s">
        <v>3087</v>
      </c>
      <c r="D702" s="64" t="str">
        <f t="shared" si="32"/>
        <v>Documents\GitHub\Ozon_upload\barcode\punky monkey\set_cartoon_boundles\Термонаклейка набор Миньоны Minions 3D в1.pdf</v>
      </c>
      <c r="E702" s="65" t="str">
        <f>CONCATENATE("C:\Users\",username!A308,"\Documents\GitHub\Ozon_upload\DTF_images\max\A4\set_cartoon_boundles\",C702,".tif")</f>
        <v>C:\Users\maxim\Documents\GitHub\Ozon_upload\DTF_images\max\A4\set_cartoon_boundles\set3_minions2.tif</v>
      </c>
      <c r="F702" s="67">
        <v>1</v>
      </c>
      <c r="G702" s="67">
        <v>1</v>
      </c>
      <c r="H702" s="69" t="s">
        <v>3151</v>
      </c>
      <c r="I702" s="66" t="s">
        <v>3104</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3136</v>
      </c>
      <c r="B703" s="63"/>
      <c r="C703" s="63" t="s">
        <v>3088</v>
      </c>
      <c r="D703" s="64" t="str">
        <f t="shared" si="32"/>
        <v>Documents\GitHub\Ozon_upload\barcode\punky monkey\set_cartoon_boundles\Термонаклейка набор Космос Космонавтика.pdf</v>
      </c>
      <c r="E703" s="65" t="str">
        <f>CONCATENATE("C:\Users\",username!A309,"\Documents\GitHub\Ozon_upload\DTF_images\max\A4\set_cartoon_boundles\",C703,".tif")</f>
        <v>C:\Users\maxim\Documents\GitHub\Ozon_upload\DTF_images\max\A4\set_cartoon_boundles\set3_Space1.tif</v>
      </c>
      <c r="F703" s="67">
        <v>1</v>
      </c>
      <c r="G703" s="67">
        <v>1</v>
      </c>
      <c r="H703" s="69" t="s">
        <v>3151</v>
      </c>
      <c r="I703" s="66" t="s">
        <v>3105</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3144</v>
      </c>
      <c r="B704" s="63"/>
      <c r="C704" s="63" t="s">
        <v>3089</v>
      </c>
      <c r="D704" s="64" t="str">
        <f t="shared" si="32"/>
        <v>Documents\GitHub\Ozon_upload\barcode\punky monkey\set_cartoon_boundles\Термонаклейка набор Человек-Паук cartoon.pdf</v>
      </c>
      <c r="E704" s="65" t="str">
        <f>CONCATENATE("C:\Users\",username!A310,"\Documents\GitHub\Ozon_upload\DTF_images\max\A4\set_cartoon_boundles\",C704,".tif")</f>
        <v>C:\Users\maxim\Documents\GitHub\Ozon_upload\DTF_images\max\A4\set_cartoon_boundles\set3_spider_cartoon.tif</v>
      </c>
      <c r="F704" s="67">
        <v>1</v>
      </c>
      <c r="G704" s="67">
        <v>1</v>
      </c>
      <c r="H704" s="69" t="s">
        <v>3151</v>
      </c>
      <c r="I704" s="66" t="s">
        <v>3106</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3147</v>
      </c>
      <c r="B705" s="63"/>
      <c r="C705" s="63" t="s">
        <v>3152</v>
      </c>
      <c r="D705" s="64" t="str">
        <f t="shared" si="32"/>
        <v>Documents\GitHub\Ozon_upload\barcode\punky monkey\set_cartoon_boundles\Термонаклейка набор Губка Боб Спанч Боб Sponge Bob в1.pdf</v>
      </c>
      <c r="E705" s="65" t="str">
        <f>CONCATENATE("C:\Users\",username!A311,"\Documents\GitHub\Ozon_upload\DTF_images\max\A4\set_cartoon_boundles\",C705,".tif")</f>
        <v>C:\Users\maxim\Documents\GitHub\Ozon_upload\DTF_images\max\A4\set_cartoon_boundles\set3_Sponge_Bob.tif</v>
      </c>
      <c r="F705" s="67">
        <v>1</v>
      </c>
      <c r="G705" s="67">
        <v>1</v>
      </c>
      <c r="H705" s="69" t="s">
        <v>3151</v>
      </c>
      <c r="I705" s="66" t="s">
        <v>3107</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3145</v>
      </c>
      <c r="B706" s="63"/>
      <c r="C706" s="63" t="s">
        <v>3090</v>
      </c>
      <c r="D706" s="64" t="str">
        <f t="shared" si="32"/>
        <v>Documents\GitHub\Ozon_upload\barcode\punky monkey\set_cartoon_boundles\Термонаклейка набор Черепашки ниндзя turtles TMNT в2.pdf</v>
      </c>
      <c r="E706" s="65" t="str">
        <f>CONCATENATE("C:\Users\",username!A312,"\Documents\GitHub\Ozon_upload\DTF_images\max\A4\set_cartoon_boundles\",C706,".tif")</f>
        <v>C:\Users\maxim\Documents\GitHub\Ozon_upload\DTF_images\max\A4\set_cartoon_boundles\set3_tmnt_001.tif</v>
      </c>
      <c r="F706" s="67">
        <v>1</v>
      </c>
      <c r="G706" s="67">
        <v>1</v>
      </c>
      <c r="H706" s="69" t="s">
        <v>3151</v>
      </c>
      <c r="I706" s="66" t="s">
        <v>3108</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3146</v>
      </c>
      <c r="B707" s="63"/>
      <c r="C707" s="63" t="s">
        <v>3153</v>
      </c>
      <c r="D707" s="64" t="str">
        <f t="shared" si="32"/>
        <v>Documents\GitHub\Ozon_upload\barcode\punky monkey\set_cartoon_boundles\Термонаклейка набор Том и Джерри Tom and Jerry 2D в2.pdf</v>
      </c>
      <c r="E707" s="65" t="str">
        <f>CONCATENATE("C:\Users\",username!A313,"\Documents\GitHub\Ozon_upload\DTF_images\max\A4\set_cartoon_boundles\",C707,".tif")</f>
        <v>C:\Users\maxim\Documents\GitHub\Ozon_upload\DTF_images\max\A4\set_cartoon_boundles\set3_tom_and_jerry1.tif</v>
      </c>
      <c r="F707" s="67">
        <v>1</v>
      </c>
      <c r="G707" s="67">
        <v>1</v>
      </c>
      <c r="H707" s="69" t="s">
        <v>3151</v>
      </c>
      <c r="I707" s="66" t="s">
        <v>3109</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3141</v>
      </c>
      <c r="B708" s="63"/>
      <c r="C708" s="63" t="s">
        <v>3076</v>
      </c>
      <c r="D708" s="64" t="str">
        <f t="shared" si="32"/>
        <v>Documents\GitHub\Ozon_upload\barcode\punky monkey\set_cartoon_boundles\Термонаклейка набор Соник ёжик Sonic 3D в1.pdf</v>
      </c>
      <c r="E708" s="65" t="str">
        <f>CONCATENATE("C:\Users\",username!A314,"\Documents\GitHub\Ozon_upload\DTF_images\max\A4\set_cartoon_boundles\",C708,".tif")</f>
        <v>C:\Users\maxim\Documents\GitHub\Ozon_upload\DTF_images\max\A4\set_cartoon_boundles\set3_007_sonic.tif</v>
      </c>
      <c r="F708" s="67">
        <v>1</v>
      </c>
      <c r="G708" s="67">
        <v>1</v>
      </c>
      <c r="H708" s="69" t="s">
        <v>3151</v>
      </c>
      <c r="I708" s="66" t="s">
        <v>3093</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3137</v>
      </c>
      <c r="B709" s="63"/>
      <c r="C709" s="63" t="s">
        <v>3078</v>
      </c>
      <c r="D709" s="64" t="str">
        <f t="shared" si="32"/>
        <v>Documents\GitHub\Ozon_upload\barcode\punky monkey\set_cartoon_boundles\Термонаклейка набор Человек-Паук Spider-man 2D в1.pdf</v>
      </c>
      <c r="E709" s="65" t="str">
        <f>CONCATENATE("C:\Users\",username!A315,"\Documents\GitHub\Ozon_upload\DTF_images\max\A4\set_cartoon_boundles\",C709,".tif")</f>
        <v>C:\Users\maxim\Documents\GitHub\Ozon_upload\DTF_images\max\A4\set_cartoon_boundles\set3_009_spider2D.tif</v>
      </c>
      <c r="F709" s="67">
        <v>1</v>
      </c>
      <c r="G709" s="67">
        <v>1</v>
      </c>
      <c r="H709" s="69" t="s">
        <v>3151</v>
      </c>
      <c r="I709" s="66" t="s">
        <v>3095</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3">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3"/>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3"/>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3"/>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3"/>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3"/>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3"/>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3"/>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3"/>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3"/>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3"/>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3"/>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3"/>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3"/>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3"/>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3"/>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3"/>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3"/>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3"/>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3"/>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3"/>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3"/>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3"/>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3"/>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3"/>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3"/>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3"/>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3"/>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3"/>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3"/>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3"/>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3"/>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4">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4"/>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4"/>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4"/>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4"/>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4"/>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4"/>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4"/>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4"/>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4"/>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4"/>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4"/>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4"/>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4"/>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4"/>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4"/>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4"/>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4"/>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4"/>
        <v>Documents\GitHub\Ozon_upload\barcode\футболки\Платье желтое р92.pdf</v>
      </c>
      <c r="I820" s="1" t="s">
        <v>622</v>
      </c>
      <c r="K820" s="1" t="s">
        <v>48</v>
      </c>
      <c r="AQ820" s="2" t="s">
        <v>2888</v>
      </c>
    </row>
    <row r="821" spans="1:43" x14ac:dyDescent="0.2">
      <c r="A821" s="1" t="s">
        <v>2989</v>
      </c>
      <c r="B821" s="1" t="s">
        <v>2990</v>
      </c>
      <c r="D821" s="1" t="str">
        <f t="shared" si="34"/>
        <v>Documents\GitHub\Ozon_upload\barcode\футболки\Платье желтое р98.pdf</v>
      </c>
      <c r="I821" s="1" t="s">
        <v>622</v>
      </c>
      <c r="K821" s="1" t="s">
        <v>48</v>
      </c>
      <c r="AQ821" s="2" t="s">
        <v>2888</v>
      </c>
    </row>
    <row r="822" spans="1:43" x14ac:dyDescent="0.2">
      <c r="A822" s="1" t="s">
        <v>2991</v>
      </c>
      <c r="B822" s="1" t="s">
        <v>2992</v>
      </c>
      <c r="D822" s="1" t="str">
        <f t="shared" si="34"/>
        <v>Documents\GitHub\Ozon_upload\barcode\футболки\Платье желтое р104.pdf</v>
      </c>
      <c r="I822" s="1" t="s">
        <v>622</v>
      </c>
      <c r="K822" s="1" t="s">
        <v>48</v>
      </c>
      <c r="AQ822" s="2" t="s">
        <v>2888</v>
      </c>
    </row>
    <row r="823" spans="1:43" x14ac:dyDescent="0.2">
      <c r="A823" s="1" t="s">
        <v>2993</v>
      </c>
      <c r="B823" s="1" t="s">
        <v>2994</v>
      </c>
      <c r="D823" s="1" t="str">
        <f t="shared" si="34"/>
        <v>Documents\GitHub\Ozon_upload\barcode\футболки\Платье желтое р110.pdf</v>
      </c>
      <c r="I823" s="1" t="s">
        <v>622</v>
      </c>
      <c r="K823" s="1" t="s">
        <v>48</v>
      </c>
      <c r="AQ823" s="2" t="s">
        <v>2888</v>
      </c>
    </row>
    <row r="824" spans="1:43" x14ac:dyDescent="0.2">
      <c r="A824" s="1" t="s">
        <v>2995</v>
      </c>
      <c r="B824" s="1" t="s">
        <v>2996</v>
      </c>
      <c r="D824" s="1" t="str">
        <f t="shared" si="34"/>
        <v>Documents\GitHub\Ozon_upload\barcode\футболки\Платье желтое р116.pdf</v>
      </c>
      <c r="I824" s="1" t="s">
        <v>622</v>
      </c>
      <c r="K824" s="1" t="s">
        <v>48</v>
      </c>
      <c r="AQ824" s="2" t="s">
        <v>2888</v>
      </c>
    </row>
    <row r="825" spans="1:43" x14ac:dyDescent="0.2">
      <c r="A825" s="1" t="s">
        <v>2997</v>
      </c>
      <c r="B825" s="1" t="s">
        <v>2998</v>
      </c>
      <c r="D825" s="1" t="str">
        <f t="shared" si="34"/>
        <v>Documents\GitHub\Ozon_upload\barcode\футболки\Платье желтое р122.pdf</v>
      </c>
      <c r="I825" s="1" t="s">
        <v>622</v>
      </c>
      <c r="K825" s="1" t="s">
        <v>48</v>
      </c>
      <c r="AQ825" s="2" t="s">
        <v>2888</v>
      </c>
    </row>
    <row r="826" spans="1:43" ht="15" x14ac:dyDescent="0.25">
      <c r="A826" s="16" t="s">
        <v>2999</v>
      </c>
      <c r="B826" s="1" t="s">
        <v>3000</v>
      </c>
      <c r="D826" s="1" t="str">
        <f t="shared" si="34"/>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4"/>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4"/>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4"/>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4"/>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4"/>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4"/>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4"/>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5">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5"/>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5"/>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5"/>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5"/>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5"/>
        <v>Documents\GitHub\Ozon_upload\barcode\футболки\Футболка Единорог р134.pdf</v>
      </c>
      <c r="I839" s="1" t="s">
        <v>622</v>
      </c>
      <c r="K839" s="1" t="s">
        <v>48</v>
      </c>
      <c r="AQ839" s="2" t="s">
        <v>2888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2026-04-27T05:46:51Z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