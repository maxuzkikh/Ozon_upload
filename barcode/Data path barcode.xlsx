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x\Documents\GitHub\Ozon_upload\barcode\"/>
    </mc:Choice>
  </mc:AlternateContent>
  <xr:revisionPtr revIDLastSave="0" documentId="13_ncr:1_{A4AE772E-E439-4B6A-9156-68ED12DA7C56}" xr6:coauthVersionLast="47" xr6:coauthVersionMax="47" xr10:uidLastSave="{00000000-0000-0000-0000-000000000000}"/>
  <bookViews>
    <workbookView xWindow="-120" yWindow="-120" windowWidth="29040" windowHeight="15720" tabRatio="500" xr2:uid="{00000000-000D-0000-FFFF-FFFF00000000}"/>
  </bookViews>
  <sheets>
    <sheet name="Лист1" sheetId="1" r:id="rId1"/>
    <sheet name="номер" sheetId="2" r:id="rId2"/>
    <sheet name="Sheet2" sheetId="3" r:id="rId3"/>
    <sheet name="username" sheetId="4" r:id="rId4"/>
    <sheet name="username2" sheetId="5" r:id="rId5"/>
  </sheets>
  <calcPr calcId="181029"/>
  <extLst>
    <ext xmlns:loext="http://schemas.libreoffice.org/" uri="{7626C862-2A13-11E5-B345-FEFF819CDC9F}">
      <loext:extCalcPr stringRefSyntax="CalcA1ExcelA1"/>
    </ext>
  </extLst>
</workbook>
</file>

<file path=xl/calcChain.xml><?xml version="1.0" encoding="utf-8"?>
<calcChain xmlns="http://schemas.openxmlformats.org/spreadsheetml/2006/main">
  <c r="E304" i="1" l="1"/>
  <c r="E123" i="1"/>
  <c r="D698" i="1"/>
  <c r="D681" i="1"/>
  <c r="D674" i="1"/>
  <c r="D690" i="1"/>
  <c r="D689" i="1"/>
  <c r="D688" i="1"/>
  <c r="D687" i="1"/>
  <c r="D686" i="1"/>
  <c r="D685" i="1"/>
  <c r="D684" i="1"/>
  <c r="D683" i="1"/>
  <c r="D682" i="1"/>
  <c r="D680" i="1"/>
  <c r="D679" i="1"/>
  <c r="D678" i="1"/>
  <c r="D677" i="1"/>
  <c r="D676" i="1"/>
  <c r="D675" i="1"/>
  <c r="D673" i="1"/>
  <c r="D672" i="1"/>
  <c r="D671" i="1"/>
  <c r="E709" i="1"/>
  <c r="E708" i="1"/>
  <c r="E707" i="1"/>
  <c r="E706" i="1"/>
  <c r="E705" i="1"/>
  <c r="E704" i="1"/>
  <c r="E703" i="1"/>
  <c r="E702" i="1"/>
  <c r="E701" i="1"/>
  <c r="E700" i="1"/>
  <c r="E699" i="1"/>
  <c r="E698" i="1"/>
  <c r="E697" i="1"/>
  <c r="E696" i="1"/>
  <c r="E695" i="1"/>
  <c r="E694" i="1"/>
  <c r="E693" i="1"/>
  <c r="E692" i="1"/>
  <c r="E691" i="1"/>
  <c r="D709" i="1"/>
  <c r="D708" i="1"/>
  <c r="D707" i="1"/>
  <c r="D706" i="1"/>
  <c r="D705" i="1"/>
  <c r="D704" i="1"/>
  <c r="D703" i="1"/>
  <c r="D702" i="1"/>
  <c r="D701" i="1"/>
  <c r="D700" i="1"/>
  <c r="D699" i="1"/>
  <c r="D697" i="1"/>
  <c r="D696" i="1"/>
  <c r="D695" i="1"/>
  <c r="D694" i="1"/>
  <c r="D693" i="1"/>
  <c r="D692" i="1"/>
  <c r="D691" i="1"/>
  <c r="E690" i="1"/>
  <c r="E689" i="1"/>
  <c r="E688" i="1"/>
  <c r="E687" i="1"/>
  <c r="E686" i="1"/>
  <c r="E685" i="1"/>
  <c r="E684" i="1"/>
  <c r="E683" i="1"/>
  <c r="E682" i="1"/>
  <c r="E681" i="1"/>
  <c r="E680" i="1"/>
  <c r="E679" i="1"/>
  <c r="E678" i="1"/>
  <c r="E677" i="1"/>
  <c r="E676" i="1"/>
  <c r="E675" i="1"/>
  <c r="E674" i="1"/>
  <c r="E673" i="1"/>
  <c r="E672" i="1"/>
  <c r="E671" i="1"/>
  <c r="A2" i="2"/>
  <c r="A3" i="2" s="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E670" i="1"/>
  <c r="D670" i="1"/>
  <c r="E669" i="1"/>
  <c r="D669" i="1"/>
  <c r="E668" i="1"/>
  <c r="D668" i="1"/>
  <c r="E667" i="1"/>
  <c r="D667" i="1"/>
  <c r="E666" i="1"/>
  <c r="D666" i="1"/>
  <c r="E665" i="1"/>
  <c r="D665" i="1"/>
  <c r="E664" i="1"/>
  <c r="D664" i="1"/>
  <c r="E663" i="1"/>
  <c r="D663" i="1"/>
  <c r="E662" i="1"/>
  <c r="D662" i="1"/>
  <c r="E661" i="1"/>
  <c r="D661" i="1"/>
  <c r="E660" i="1"/>
  <c r="D660" i="1"/>
  <c r="E659" i="1"/>
  <c r="D659" i="1"/>
  <c r="E658" i="1"/>
  <c r="D658" i="1"/>
  <c r="E657" i="1"/>
  <c r="D657" i="1"/>
  <c r="E656" i="1"/>
  <c r="D656" i="1"/>
  <c r="E655" i="1"/>
  <c r="D655" i="1"/>
  <c r="E654" i="1"/>
  <c r="D654" i="1"/>
  <c r="E653" i="1"/>
  <c r="D653" i="1"/>
  <c r="E652" i="1"/>
  <c r="D652" i="1"/>
  <c r="E651" i="1"/>
  <c r="D651" i="1"/>
  <c r="E650" i="1"/>
  <c r="D650" i="1"/>
  <c r="E649" i="1"/>
  <c r="D649" i="1"/>
  <c r="E648" i="1"/>
  <c r="D648" i="1"/>
  <c r="E647" i="1"/>
  <c r="D647" i="1"/>
  <c r="E646" i="1"/>
  <c r="D646" i="1"/>
  <c r="E645" i="1"/>
  <c r="D645" i="1"/>
  <c r="E644" i="1"/>
  <c r="D644" i="1"/>
  <c r="E643" i="1"/>
  <c r="D643" i="1"/>
  <c r="E642" i="1"/>
  <c r="D642" i="1"/>
  <c r="E641" i="1"/>
  <c r="D641" i="1"/>
  <c r="E640" i="1"/>
  <c r="D640" i="1"/>
  <c r="E639" i="1"/>
  <c r="D639" i="1"/>
  <c r="E638" i="1"/>
  <c r="D638" i="1"/>
  <c r="E637" i="1"/>
  <c r="D637" i="1"/>
  <c r="E636" i="1"/>
  <c r="D636" i="1"/>
  <c r="E635" i="1"/>
  <c r="D635" i="1"/>
  <c r="E634" i="1"/>
  <c r="D634" i="1"/>
  <c r="E633" i="1"/>
  <c r="D633" i="1"/>
  <c r="E632" i="1"/>
  <c r="D632" i="1"/>
  <c r="E631" i="1"/>
  <c r="D631" i="1"/>
  <c r="E630" i="1"/>
  <c r="D630" i="1"/>
  <c r="E629" i="1"/>
  <c r="D629" i="1"/>
  <c r="E628" i="1"/>
  <c r="D628" i="1"/>
  <c r="E627" i="1"/>
  <c r="D627" i="1"/>
  <c r="E626" i="1"/>
  <c r="D626" i="1"/>
  <c r="E625" i="1"/>
  <c r="D625" i="1"/>
  <c r="E624" i="1"/>
  <c r="D624" i="1"/>
  <c r="E623" i="1"/>
  <c r="D623" i="1"/>
  <c r="E622" i="1"/>
  <c r="D622" i="1"/>
  <c r="E621" i="1"/>
  <c r="D621" i="1"/>
  <c r="E620" i="1"/>
  <c r="D620" i="1"/>
  <c r="E619" i="1"/>
  <c r="D619" i="1"/>
  <c r="E618" i="1"/>
  <c r="D618" i="1"/>
  <c r="E617" i="1"/>
  <c r="D617" i="1"/>
  <c r="E616" i="1"/>
  <c r="D616" i="1"/>
  <c r="E615" i="1"/>
  <c r="D615" i="1"/>
  <c r="E614" i="1"/>
  <c r="D614" i="1"/>
  <c r="E613" i="1"/>
  <c r="D613" i="1"/>
  <c r="E612" i="1"/>
  <c r="D612" i="1"/>
  <c r="E611" i="1"/>
  <c r="D611" i="1"/>
  <c r="E610" i="1"/>
  <c r="D610" i="1"/>
  <c r="E609" i="1"/>
  <c r="D609" i="1"/>
  <c r="E608" i="1"/>
  <c r="D608" i="1"/>
  <c r="E607" i="1"/>
  <c r="D607" i="1"/>
  <c r="E606" i="1"/>
  <c r="D606" i="1"/>
  <c r="E605" i="1"/>
  <c r="D605" i="1"/>
  <c r="E604" i="1"/>
  <c r="D604" i="1"/>
  <c r="E603" i="1"/>
  <c r="D603" i="1"/>
  <c r="E602" i="1"/>
  <c r="D602" i="1"/>
  <c r="E601" i="1"/>
  <c r="D601" i="1"/>
  <c r="E600" i="1"/>
  <c r="D600" i="1"/>
  <c r="E599" i="1"/>
  <c r="D599" i="1"/>
  <c r="E598" i="1"/>
  <c r="D598" i="1"/>
  <c r="E597" i="1"/>
  <c r="D597" i="1"/>
  <c r="E596" i="1"/>
  <c r="D596" i="1"/>
  <c r="E595" i="1"/>
  <c r="D595" i="1"/>
  <c r="E594" i="1"/>
  <c r="D594" i="1"/>
  <c r="E593" i="1"/>
  <c r="D593" i="1"/>
  <c r="E592" i="1"/>
  <c r="D592" i="1"/>
  <c r="E591" i="1"/>
  <c r="D591" i="1"/>
  <c r="E590" i="1"/>
  <c r="D590" i="1"/>
  <c r="E589" i="1"/>
  <c r="D589" i="1"/>
  <c r="E588" i="1"/>
  <c r="D588" i="1"/>
  <c r="E587" i="1"/>
  <c r="D587" i="1"/>
  <c r="E586" i="1"/>
  <c r="D586" i="1"/>
  <c r="E585" i="1"/>
  <c r="D585" i="1"/>
  <c r="E584" i="1"/>
  <c r="D584" i="1"/>
  <c r="E583" i="1"/>
  <c r="D583" i="1"/>
  <c r="E582" i="1"/>
  <c r="D582" i="1"/>
  <c r="E581" i="1"/>
  <c r="D581" i="1"/>
  <c r="E580" i="1"/>
  <c r="D580" i="1"/>
  <c r="E579" i="1"/>
  <c r="D579" i="1"/>
  <c r="E578" i="1"/>
  <c r="D578" i="1"/>
  <c r="E577" i="1"/>
  <c r="D577" i="1"/>
  <c r="E576" i="1"/>
  <c r="D576" i="1"/>
  <c r="E575" i="1"/>
  <c r="D575" i="1"/>
  <c r="E574" i="1"/>
  <c r="D574" i="1"/>
  <c r="E573" i="1"/>
  <c r="D573" i="1"/>
  <c r="E572" i="1"/>
  <c r="D572" i="1"/>
  <c r="E571" i="1"/>
  <c r="D571" i="1"/>
  <c r="E570" i="1"/>
  <c r="D570" i="1"/>
  <c r="E569" i="1"/>
  <c r="D569" i="1"/>
  <c r="E568" i="1"/>
  <c r="D568" i="1"/>
  <c r="E567" i="1"/>
  <c r="D567" i="1"/>
  <c r="E566" i="1"/>
  <c r="D566" i="1"/>
  <c r="E565" i="1"/>
  <c r="D565" i="1"/>
  <c r="E564" i="1"/>
  <c r="D564" i="1"/>
  <c r="E563" i="1"/>
  <c r="D563" i="1"/>
  <c r="E562" i="1"/>
  <c r="D562" i="1"/>
  <c r="E561" i="1"/>
  <c r="D561" i="1"/>
  <c r="E560" i="1"/>
  <c r="D560" i="1"/>
  <c r="E559" i="1"/>
  <c r="D559" i="1"/>
  <c r="E558" i="1"/>
  <c r="D558" i="1"/>
  <c r="E557" i="1"/>
  <c r="D557" i="1"/>
  <c r="E556" i="1"/>
  <c r="D556" i="1"/>
  <c r="E555" i="1"/>
  <c r="D555" i="1"/>
  <c r="E554" i="1"/>
  <c r="D554" i="1"/>
  <c r="E553" i="1"/>
  <c r="D553" i="1"/>
  <c r="E552" i="1"/>
  <c r="D552" i="1"/>
  <c r="E551" i="1"/>
  <c r="D551" i="1"/>
  <c r="E550" i="1"/>
  <c r="D550" i="1"/>
  <c r="E549" i="1"/>
  <c r="D549" i="1"/>
  <c r="E548" i="1"/>
  <c r="D548" i="1"/>
  <c r="E547" i="1"/>
  <c r="D547" i="1"/>
  <c r="E546" i="1"/>
  <c r="D546" i="1"/>
  <c r="E545" i="1"/>
  <c r="D545" i="1"/>
  <c r="E544" i="1"/>
  <c r="D544" i="1"/>
  <c r="E543" i="1"/>
  <c r="D543" i="1"/>
  <c r="E542" i="1"/>
  <c r="D542" i="1"/>
  <c r="E541" i="1"/>
  <c r="D541" i="1"/>
  <c r="E540" i="1"/>
  <c r="D540" i="1"/>
  <c r="E539" i="1"/>
  <c r="D539" i="1"/>
  <c r="E538" i="1"/>
  <c r="D538" i="1"/>
  <c r="E537" i="1"/>
  <c r="D537" i="1"/>
  <c r="E536" i="1"/>
  <c r="D536" i="1"/>
  <c r="E535" i="1"/>
  <c r="D535" i="1"/>
  <c r="E534" i="1"/>
  <c r="D534" i="1"/>
  <c r="E533" i="1"/>
  <c r="D533" i="1"/>
  <c r="E532" i="1"/>
  <c r="D532" i="1"/>
  <c r="E531" i="1"/>
  <c r="D531" i="1"/>
  <c r="E530" i="1"/>
  <c r="D530" i="1"/>
  <c r="E529" i="1"/>
  <c r="D529" i="1"/>
  <c r="E528" i="1"/>
  <c r="D528" i="1"/>
  <c r="E527" i="1"/>
  <c r="D527" i="1"/>
  <c r="E526" i="1"/>
  <c r="D526" i="1"/>
  <c r="E525" i="1"/>
  <c r="D525" i="1"/>
  <c r="E524" i="1"/>
  <c r="D524" i="1"/>
  <c r="E523" i="1"/>
  <c r="D523" i="1"/>
  <c r="E522" i="1"/>
  <c r="D522" i="1"/>
  <c r="E521" i="1"/>
  <c r="D521" i="1"/>
  <c r="E520" i="1"/>
  <c r="D520" i="1"/>
  <c r="E519" i="1"/>
  <c r="D519" i="1"/>
  <c r="E518" i="1"/>
  <c r="D518" i="1"/>
  <c r="E517" i="1"/>
  <c r="D517" i="1"/>
  <c r="E516" i="1"/>
  <c r="D516" i="1"/>
  <c r="E515" i="1"/>
  <c r="D515" i="1"/>
  <c r="E514" i="1"/>
  <c r="D514" i="1"/>
  <c r="E513" i="1"/>
  <c r="D513" i="1"/>
  <c r="E512" i="1"/>
  <c r="D512" i="1"/>
  <c r="E511" i="1"/>
  <c r="D511" i="1"/>
  <c r="E510" i="1"/>
  <c r="D510" i="1"/>
  <c r="E509" i="1"/>
  <c r="D509" i="1"/>
  <c r="E508" i="1"/>
  <c r="D508" i="1"/>
  <c r="E507" i="1"/>
  <c r="D507" i="1"/>
  <c r="E506" i="1"/>
  <c r="D506" i="1"/>
  <c r="E505" i="1"/>
  <c r="D505" i="1"/>
  <c r="E504" i="1"/>
  <c r="D504" i="1"/>
  <c r="E503" i="1"/>
  <c r="D503" i="1"/>
  <c r="E502" i="1"/>
  <c r="D502" i="1"/>
  <c r="E501" i="1"/>
  <c r="D501" i="1"/>
  <c r="E500" i="1"/>
  <c r="D500" i="1"/>
  <c r="E499" i="1"/>
  <c r="D499" i="1"/>
  <c r="E498" i="1"/>
  <c r="D498" i="1"/>
  <c r="E497" i="1"/>
  <c r="D497" i="1"/>
  <c r="E496" i="1"/>
  <c r="D496" i="1"/>
  <c r="E495" i="1"/>
  <c r="D495" i="1"/>
  <c r="E494" i="1"/>
  <c r="D494" i="1"/>
  <c r="E493" i="1"/>
  <c r="D493" i="1"/>
  <c r="E492" i="1"/>
  <c r="D492" i="1"/>
  <c r="E491" i="1"/>
  <c r="D491" i="1"/>
  <c r="E490" i="1"/>
  <c r="D490" i="1"/>
  <c r="E489" i="1"/>
  <c r="D489" i="1"/>
  <c r="E488" i="1"/>
  <c r="D488" i="1"/>
  <c r="E487" i="1"/>
  <c r="D487" i="1"/>
  <c r="E486" i="1"/>
  <c r="D486" i="1"/>
  <c r="E485" i="1"/>
  <c r="D485" i="1"/>
  <c r="E484" i="1"/>
  <c r="D484" i="1"/>
  <c r="E483" i="1"/>
  <c r="D483" i="1"/>
  <c r="E482" i="1"/>
  <c r="D482" i="1"/>
  <c r="E481" i="1"/>
  <c r="D481" i="1"/>
  <c r="E480" i="1"/>
  <c r="D480" i="1"/>
  <c r="E479" i="1"/>
  <c r="D479" i="1"/>
  <c r="E478" i="1"/>
  <c r="D478" i="1"/>
  <c r="E477" i="1"/>
  <c r="D477" i="1"/>
  <c r="E476" i="1"/>
  <c r="D476" i="1"/>
  <c r="E475" i="1"/>
  <c r="D475" i="1"/>
  <c r="E474" i="1"/>
  <c r="D474" i="1"/>
  <c r="E473" i="1"/>
  <c r="D473" i="1"/>
  <c r="E472" i="1"/>
  <c r="D472" i="1"/>
  <c r="E471" i="1"/>
  <c r="D471" i="1"/>
  <c r="E470" i="1"/>
  <c r="D470" i="1"/>
  <c r="E469" i="1"/>
  <c r="D469" i="1"/>
  <c r="E468" i="1"/>
  <c r="D468" i="1"/>
  <c r="E467" i="1"/>
  <c r="D467" i="1"/>
  <c r="E466" i="1"/>
  <c r="D466" i="1"/>
  <c r="E465" i="1"/>
  <c r="D465" i="1"/>
  <c r="E464" i="1"/>
  <c r="D464" i="1"/>
  <c r="E463" i="1"/>
  <c r="D463" i="1"/>
  <c r="E462" i="1"/>
  <c r="D462" i="1"/>
  <c r="E461" i="1"/>
  <c r="D461" i="1"/>
  <c r="E460" i="1"/>
  <c r="D460" i="1"/>
  <c r="E459" i="1"/>
  <c r="D459" i="1"/>
  <c r="E458" i="1"/>
  <c r="D458" i="1"/>
  <c r="E457" i="1"/>
  <c r="D457" i="1"/>
  <c r="E456" i="1"/>
  <c r="D456" i="1"/>
  <c r="E455" i="1"/>
  <c r="D455" i="1"/>
  <c r="E454" i="1"/>
  <c r="D454" i="1"/>
  <c r="E453" i="1"/>
  <c r="D453" i="1"/>
  <c r="E452" i="1"/>
  <c r="D452" i="1"/>
  <c r="E451" i="1"/>
  <c r="D451" i="1"/>
  <c r="E450" i="1"/>
  <c r="D450" i="1"/>
  <c r="E449" i="1"/>
  <c r="D449" i="1"/>
  <c r="E448" i="1"/>
  <c r="D448" i="1"/>
  <c r="E447" i="1"/>
  <c r="D447" i="1"/>
  <c r="E446" i="1"/>
  <c r="D446" i="1"/>
  <c r="E445" i="1"/>
  <c r="D445" i="1"/>
  <c r="E444" i="1"/>
  <c r="D444" i="1"/>
  <c r="E443" i="1"/>
  <c r="D443" i="1"/>
  <c r="E442" i="1"/>
  <c r="D442" i="1"/>
  <c r="E441" i="1"/>
  <c r="D441" i="1"/>
  <c r="E440" i="1"/>
  <c r="D440" i="1"/>
  <c r="E439" i="1"/>
  <c r="D439" i="1"/>
  <c r="E438" i="1"/>
  <c r="D438" i="1"/>
  <c r="E437" i="1"/>
  <c r="D437" i="1"/>
  <c r="E436" i="1"/>
  <c r="D436" i="1"/>
  <c r="E435" i="1"/>
  <c r="D435" i="1"/>
  <c r="E434" i="1"/>
  <c r="D434" i="1"/>
  <c r="E433" i="1"/>
  <c r="D433" i="1"/>
  <c r="E432" i="1"/>
  <c r="D432" i="1"/>
  <c r="E431" i="1"/>
  <c r="D431" i="1"/>
  <c r="E430" i="1"/>
  <c r="D430" i="1"/>
  <c r="E429" i="1"/>
  <c r="D429" i="1"/>
  <c r="E428" i="1"/>
  <c r="D428" i="1"/>
  <c r="E427" i="1"/>
  <c r="D427" i="1"/>
  <c r="E426" i="1"/>
  <c r="D426" i="1"/>
  <c r="E425" i="1"/>
  <c r="D425" i="1"/>
  <c r="E424" i="1"/>
  <c r="D424" i="1"/>
  <c r="E423" i="1"/>
  <c r="D423" i="1"/>
  <c r="E422" i="1"/>
  <c r="D422" i="1"/>
  <c r="E421" i="1"/>
  <c r="D421" i="1"/>
  <c r="E420" i="1"/>
  <c r="D420" i="1"/>
  <c r="E419" i="1"/>
  <c r="D419" i="1"/>
  <c r="E418" i="1"/>
  <c r="D418" i="1"/>
  <c r="E417" i="1"/>
  <c r="D417" i="1"/>
  <c r="E416" i="1"/>
  <c r="D416" i="1"/>
  <c r="E415" i="1"/>
  <c r="D415" i="1"/>
  <c r="E414" i="1"/>
  <c r="D414" i="1"/>
  <c r="E413" i="1"/>
  <c r="D413" i="1"/>
  <c r="E412" i="1"/>
  <c r="D412" i="1"/>
  <c r="E411" i="1"/>
  <c r="D411" i="1"/>
  <c r="E410" i="1"/>
  <c r="D410" i="1"/>
  <c r="E409" i="1"/>
  <c r="D409" i="1"/>
  <c r="E408" i="1"/>
  <c r="D408" i="1"/>
  <c r="E407" i="1"/>
  <c r="D407" i="1"/>
  <c r="E406" i="1"/>
  <c r="D406" i="1"/>
  <c r="E405" i="1"/>
  <c r="D405" i="1"/>
  <c r="E404" i="1"/>
  <c r="D404" i="1"/>
  <c r="E403" i="1"/>
  <c r="D403" i="1"/>
  <c r="E402" i="1"/>
  <c r="D402" i="1"/>
  <c r="E401" i="1"/>
  <c r="D401" i="1"/>
  <c r="E400" i="1"/>
  <c r="D400" i="1"/>
  <c r="E399" i="1"/>
  <c r="D399" i="1"/>
  <c r="E398" i="1"/>
  <c r="D398" i="1"/>
  <c r="E397" i="1"/>
  <c r="D397" i="1"/>
  <c r="E396" i="1"/>
  <c r="D396" i="1"/>
  <c r="M395" i="1"/>
  <c r="E395" i="1"/>
  <c r="D395" i="1"/>
  <c r="M394" i="1"/>
  <c r="E394" i="1"/>
  <c r="D394" i="1"/>
  <c r="M393" i="1"/>
  <c r="E393" i="1"/>
  <c r="D393" i="1"/>
  <c r="M392" i="1"/>
  <c r="E392" i="1"/>
  <c r="D392" i="1"/>
  <c r="M391" i="1"/>
  <c r="E391" i="1"/>
  <c r="D391" i="1"/>
  <c r="M390" i="1"/>
  <c r="E390" i="1"/>
  <c r="D390" i="1"/>
  <c r="M389" i="1"/>
  <c r="E389" i="1"/>
  <c r="D389" i="1"/>
  <c r="M388" i="1"/>
  <c r="E388" i="1"/>
  <c r="D388" i="1"/>
  <c r="M387" i="1"/>
  <c r="E387" i="1"/>
  <c r="D387" i="1"/>
  <c r="M386" i="1"/>
  <c r="E386" i="1"/>
  <c r="D386" i="1"/>
  <c r="M385" i="1"/>
  <c r="E385" i="1"/>
  <c r="D385" i="1"/>
  <c r="M384" i="1"/>
  <c r="E384" i="1"/>
  <c r="D384" i="1"/>
  <c r="M383" i="1"/>
  <c r="E383" i="1"/>
  <c r="D383" i="1"/>
  <c r="M382" i="1"/>
  <c r="E382" i="1"/>
  <c r="D382" i="1"/>
  <c r="M381" i="1"/>
  <c r="E381" i="1"/>
  <c r="D381" i="1"/>
  <c r="M380" i="1"/>
  <c r="E380" i="1"/>
  <c r="D380" i="1"/>
  <c r="M379" i="1"/>
  <c r="E379" i="1"/>
  <c r="D379" i="1"/>
  <c r="M378" i="1"/>
  <c r="E378" i="1"/>
  <c r="D378" i="1"/>
  <c r="M377" i="1"/>
  <c r="E377" i="1"/>
  <c r="D377" i="1"/>
  <c r="M376" i="1"/>
  <c r="E376" i="1"/>
  <c r="D376" i="1"/>
  <c r="M375" i="1"/>
  <c r="E375" i="1"/>
  <c r="D375" i="1"/>
  <c r="M374" i="1"/>
  <c r="E374" i="1"/>
  <c r="D374" i="1"/>
  <c r="M373" i="1"/>
  <c r="E373" i="1"/>
  <c r="D373" i="1"/>
  <c r="M372" i="1"/>
  <c r="I372" i="1"/>
  <c r="E372" i="1"/>
  <c r="D372" i="1"/>
  <c r="I371" i="1"/>
  <c r="E371" i="1"/>
  <c r="D371" i="1"/>
  <c r="E370" i="1"/>
  <c r="D370" i="1"/>
  <c r="E369" i="1"/>
  <c r="D369" i="1"/>
  <c r="E368" i="1"/>
  <c r="D368" i="1"/>
  <c r="E367" i="1"/>
  <c r="D367" i="1"/>
  <c r="E366" i="1"/>
  <c r="D366" i="1"/>
  <c r="E365" i="1"/>
  <c r="D365" i="1"/>
  <c r="E364" i="1"/>
  <c r="D364" i="1"/>
  <c r="E363" i="1"/>
  <c r="D363" i="1"/>
  <c r="E362" i="1"/>
  <c r="D362" i="1"/>
  <c r="E361" i="1"/>
  <c r="D361" i="1"/>
  <c r="E360" i="1"/>
  <c r="D360" i="1"/>
  <c r="E359" i="1"/>
  <c r="D359" i="1"/>
  <c r="E358" i="1"/>
  <c r="D358" i="1"/>
  <c r="E357" i="1"/>
  <c r="D357" i="1"/>
  <c r="E356" i="1"/>
  <c r="D356" i="1"/>
  <c r="E355" i="1"/>
  <c r="D355" i="1"/>
  <c r="E354" i="1"/>
  <c r="D354" i="1"/>
  <c r="E353" i="1"/>
  <c r="D353" i="1"/>
  <c r="E352" i="1"/>
  <c r="D352" i="1"/>
  <c r="E351" i="1"/>
  <c r="D351" i="1"/>
  <c r="E350" i="1"/>
  <c r="D350" i="1"/>
  <c r="E349" i="1"/>
  <c r="D349" i="1"/>
  <c r="E348" i="1"/>
  <c r="D348" i="1"/>
  <c r="E347" i="1"/>
  <c r="D347" i="1"/>
  <c r="E346" i="1"/>
  <c r="D346" i="1"/>
  <c r="E345" i="1"/>
  <c r="D345" i="1"/>
  <c r="E344" i="1"/>
  <c r="D344" i="1"/>
  <c r="E343" i="1"/>
  <c r="D343" i="1"/>
  <c r="E342" i="1"/>
  <c r="D342" i="1"/>
  <c r="E341" i="1"/>
  <c r="D341" i="1"/>
  <c r="E340" i="1"/>
  <c r="D340" i="1"/>
  <c r="E339" i="1"/>
  <c r="D339" i="1"/>
  <c r="E338" i="1"/>
  <c r="D338" i="1"/>
  <c r="E337" i="1"/>
  <c r="D337" i="1"/>
  <c r="E336" i="1"/>
  <c r="D336" i="1"/>
  <c r="E335" i="1"/>
  <c r="D335" i="1"/>
  <c r="E334" i="1"/>
  <c r="D334" i="1"/>
  <c r="E333" i="1"/>
  <c r="D333" i="1"/>
  <c r="E332" i="1"/>
  <c r="D332" i="1"/>
  <c r="I331" i="1"/>
  <c r="E331" i="1"/>
  <c r="D331" i="1"/>
  <c r="I330" i="1"/>
  <c r="E330" i="1"/>
  <c r="D330" i="1"/>
  <c r="E329" i="1"/>
  <c r="D329" i="1"/>
  <c r="E328" i="1"/>
  <c r="D328" i="1"/>
  <c r="E327" i="1"/>
  <c r="D327" i="1"/>
  <c r="E326" i="1"/>
  <c r="D326" i="1"/>
  <c r="E325" i="1"/>
  <c r="D325" i="1"/>
  <c r="E324" i="1"/>
  <c r="D324" i="1"/>
  <c r="E323" i="1"/>
  <c r="D323" i="1"/>
  <c r="E322" i="1"/>
  <c r="D322" i="1"/>
  <c r="E321" i="1"/>
  <c r="D321" i="1"/>
  <c r="E320" i="1"/>
  <c r="D320" i="1"/>
  <c r="E319" i="1"/>
  <c r="D319" i="1"/>
  <c r="E318" i="1"/>
  <c r="D318" i="1"/>
  <c r="E317" i="1"/>
  <c r="D317" i="1"/>
  <c r="E316" i="1"/>
  <c r="D316" i="1"/>
  <c r="E315" i="1"/>
  <c r="D315" i="1"/>
  <c r="E314" i="1"/>
  <c r="D314" i="1"/>
  <c r="E313" i="1"/>
  <c r="D313" i="1"/>
  <c r="E312" i="1"/>
  <c r="D312" i="1"/>
  <c r="E311" i="1"/>
  <c r="D311" i="1"/>
  <c r="E310" i="1"/>
  <c r="D310" i="1"/>
  <c r="E309" i="1"/>
  <c r="D309" i="1"/>
  <c r="E308" i="1"/>
  <c r="D308" i="1"/>
  <c r="E307" i="1"/>
  <c r="D307" i="1"/>
  <c r="E306" i="1"/>
  <c r="D306" i="1"/>
  <c r="E305" i="1"/>
  <c r="D305" i="1"/>
  <c r="D304" i="1"/>
  <c r="E303" i="1"/>
  <c r="D303" i="1"/>
  <c r="E302" i="1"/>
  <c r="D302" i="1"/>
  <c r="E301" i="1"/>
  <c r="D301" i="1"/>
  <c r="E300" i="1"/>
  <c r="D300" i="1"/>
  <c r="E299" i="1"/>
  <c r="D299" i="1"/>
  <c r="E298" i="1"/>
  <c r="D298" i="1"/>
  <c r="E297" i="1"/>
  <c r="D297" i="1"/>
  <c r="E296" i="1"/>
  <c r="D296" i="1"/>
  <c r="E295" i="1"/>
  <c r="D295" i="1"/>
  <c r="E294" i="1"/>
  <c r="D294" i="1"/>
  <c r="E293" i="1"/>
  <c r="D293" i="1"/>
  <c r="E292" i="1"/>
  <c r="D292" i="1"/>
  <c r="E291" i="1"/>
  <c r="D291" i="1"/>
  <c r="E290" i="1"/>
  <c r="D290" i="1"/>
  <c r="E289" i="1"/>
  <c r="D289" i="1"/>
  <c r="E288" i="1"/>
  <c r="D288" i="1"/>
  <c r="E287" i="1"/>
  <c r="D287" i="1"/>
  <c r="E286" i="1"/>
  <c r="D286" i="1"/>
  <c r="E285" i="1"/>
  <c r="D285" i="1"/>
  <c r="E284" i="1"/>
  <c r="D284" i="1"/>
  <c r="E283" i="1"/>
  <c r="D283" i="1"/>
  <c r="E282" i="1"/>
  <c r="D282" i="1"/>
  <c r="E281" i="1"/>
  <c r="D281" i="1"/>
  <c r="E280" i="1"/>
  <c r="D280" i="1"/>
  <c r="E279" i="1"/>
  <c r="D279" i="1"/>
  <c r="E278" i="1"/>
  <c r="D278" i="1"/>
  <c r="E277" i="1"/>
  <c r="D277" i="1"/>
  <c r="E276" i="1"/>
  <c r="D276" i="1"/>
  <c r="E275" i="1"/>
  <c r="D275" i="1"/>
  <c r="E274" i="1"/>
  <c r="D274" i="1"/>
  <c r="E273" i="1"/>
  <c r="D273" i="1"/>
  <c r="E272" i="1"/>
  <c r="D272" i="1"/>
  <c r="E271" i="1"/>
  <c r="D271" i="1"/>
  <c r="E270" i="1"/>
  <c r="D270" i="1"/>
  <c r="E269" i="1"/>
  <c r="D269" i="1"/>
  <c r="E268" i="1"/>
  <c r="D268" i="1"/>
  <c r="E267" i="1"/>
  <c r="D267" i="1"/>
  <c r="E266" i="1"/>
  <c r="D266" i="1"/>
  <c r="E265" i="1"/>
  <c r="D265" i="1"/>
  <c r="E264" i="1"/>
  <c r="D264" i="1"/>
  <c r="E263" i="1"/>
  <c r="D263" i="1"/>
  <c r="E262" i="1"/>
  <c r="D262" i="1"/>
  <c r="E261" i="1"/>
  <c r="D261" i="1"/>
  <c r="E260" i="1"/>
  <c r="D260" i="1"/>
  <c r="E259" i="1"/>
  <c r="D259" i="1"/>
  <c r="E258" i="1"/>
  <c r="D258" i="1"/>
  <c r="E257" i="1"/>
  <c r="D257" i="1"/>
  <c r="E256" i="1"/>
  <c r="D256" i="1"/>
  <c r="E255" i="1"/>
  <c r="D255" i="1"/>
  <c r="E254" i="1"/>
  <c r="D254" i="1"/>
  <c r="E253" i="1"/>
  <c r="D253" i="1"/>
  <c r="E252" i="1"/>
  <c r="D252" i="1"/>
  <c r="E251" i="1"/>
  <c r="D251" i="1"/>
  <c r="E250" i="1"/>
  <c r="D250" i="1"/>
  <c r="E249" i="1"/>
  <c r="D249" i="1"/>
  <c r="E248" i="1"/>
  <c r="D248" i="1"/>
  <c r="E247" i="1"/>
  <c r="D247" i="1"/>
  <c r="E246" i="1"/>
  <c r="D246" i="1"/>
  <c r="E245" i="1"/>
  <c r="D245" i="1"/>
  <c r="E244" i="1"/>
  <c r="D244" i="1"/>
  <c r="E243" i="1"/>
  <c r="D243" i="1"/>
  <c r="E242" i="1"/>
  <c r="D242" i="1"/>
  <c r="E241" i="1"/>
  <c r="D241" i="1"/>
  <c r="E240" i="1"/>
  <c r="D240" i="1"/>
  <c r="E239" i="1"/>
  <c r="D239" i="1"/>
  <c r="E238" i="1"/>
  <c r="D238" i="1"/>
  <c r="E237" i="1"/>
  <c r="D237" i="1"/>
  <c r="E236" i="1"/>
  <c r="D236" i="1"/>
  <c r="E235" i="1"/>
  <c r="D235" i="1"/>
  <c r="E234" i="1"/>
  <c r="D234" i="1"/>
  <c r="E233" i="1"/>
  <c r="D233" i="1"/>
  <c r="E232" i="1"/>
  <c r="D232" i="1"/>
  <c r="E231" i="1"/>
  <c r="D231" i="1"/>
  <c r="E230" i="1"/>
  <c r="D230" i="1"/>
  <c r="E229" i="1"/>
  <c r="D229" i="1"/>
  <c r="E228" i="1"/>
  <c r="D228" i="1"/>
  <c r="E227" i="1"/>
  <c r="D227" i="1"/>
  <c r="E226" i="1"/>
  <c r="D226" i="1"/>
  <c r="E225" i="1"/>
  <c r="D225" i="1"/>
  <c r="E224" i="1"/>
  <c r="D224" i="1"/>
  <c r="E223" i="1"/>
  <c r="D223" i="1"/>
  <c r="E222" i="1"/>
  <c r="D222" i="1"/>
  <c r="E221" i="1"/>
  <c r="D221" i="1"/>
  <c r="E220" i="1"/>
  <c r="D220" i="1"/>
  <c r="E219" i="1"/>
  <c r="D219" i="1"/>
  <c r="E218" i="1"/>
  <c r="D218" i="1"/>
  <c r="E217" i="1"/>
  <c r="D217" i="1"/>
  <c r="E216" i="1"/>
  <c r="D216" i="1"/>
  <c r="E215" i="1"/>
  <c r="D215" i="1"/>
  <c r="E214" i="1"/>
  <c r="D214" i="1"/>
  <c r="E213" i="1"/>
  <c r="D213" i="1"/>
  <c r="E212" i="1"/>
  <c r="D212" i="1"/>
  <c r="E211" i="1"/>
  <c r="D211" i="1"/>
  <c r="E210" i="1"/>
  <c r="D210" i="1"/>
  <c r="E209" i="1"/>
  <c r="D209" i="1"/>
  <c r="E208" i="1"/>
  <c r="D208" i="1"/>
  <c r="E207" i="1"/>
  <c r="D207" i="1"/>
  <c r="E206" i="1"/>
  <c r="D206" i="1"/>
  <c r="E205" i="1"/>
  <c r="D205" i="1"/>
  <c r="E204" i="1"/>
  <c r="D204" i="1"/>
  <c r="E203" i="1"/>
  <c r="D203" i="1"/>
  <c r="E202" i="1"/>
  <c r="D202" i="1"/>
  <c r="E201" i="1"/>
  <c r="D201" i="1"/>
  <c r="E200" i="1"/>
  <c r="D200" i="1"/>
  <c r="E199" i="1"/>
  <c r="D199" i="1"/>
  <c r="E198" i="1"/>
  <c r="D198" i="1"/>
  <c r="E197" i="1"/>
  <c r="D197" i="1"/>
  <c r="E196" i="1"/>
  <c r="D196" i="1"/>
  <c r="E195" i="1"/>
  <c r="D195" i="1"/>
  <c r="E194" i="1"/>
  <c r="D194" i="1"/>
  <c r="E193" i="1"/>
  <c r="D193" i="1"/>
  <c r="E192" i="1"/>
  <c r="D192" i="1"/>
  <c r="E191" i="1"/>
  <c r="D191" i="1"/>
  <c r="E190" i="1"/>
  <c r="D190" i="1"/>
  <c r="E189" i="1"/>
  <c r="D189" i="1"/>
  <c r="E188" i="1"/>
  <c r="D188" i="1"/>
  <c r="E187" i="1"/>
  <c r="D187" i="1"/>
  <c r="E186" i="1"/>
  <c r="D186" i="1"/>
  <c r="E185" i="1"/>
  <c r="D185" i="1"/>
  <c r="E184" i="1"/>
  <c r="D184" i="1"/>
  <c r="E183" i="1"/>
  <c r="D183" i="1"/>
  <c r="E182" i="1"/>
  <c r="D182" i="1"/>
  <c r="E181" i="1"/>
  <c r="D181" i="1"/>
  <c r="E180" i="1"/>
  <c r="D180" i="1"/>
  <c r="E179" i="1"/>
  <c r="D179" i="1"/>
  <c r="E178" i="1"/>
  <c r="D178" i="1"/>
  <c r="E177" i="1"/>
  <c r="D177" i="1"/>
  <c r="E176" i="1"/>
  <c r="D176" i="1"/>
  <c r="E175" i="1"/>
  <c r="D175" i="1"/>
  <c r="E174" i="1"/>
  <c r="D174" i="1"/>
  <c r="E173" i="1"/>
  <c r="D173" i="1"/>
  <c r="E172" i="1"/>
  <c r="D172" i="1"/>
  <c r="E171" i="1"/>
  <c r="D171" i="1"/>
  <c r="E170" i="1"/>
  <c r="D170" i="1"/>
  <c r="E169" i="1"/>
  <c r="D169" i="1"/>
  <c r="E168" i="1"/>
  <c r="D168" i="1"/>
  <c r="E167" i="1"/>
  <c r="D167" i="1"/>
  <c r="E166" i="1"/>
  <c r="D166" i="1"/>
  <c r="E165" i="1"/>
  <c r="D165" i="1"/>
  <c r="E164" i="1"/>
  <c r="D164" i="1"/>
  <c r="E163" i="1"/>
  <c r="D163" i="1"/>
  <c r="E162" i="1"/>
  <c r="D162" i="1"/>
  <c r="E161" i="1"/>
  <c r="D161" i="1"/>
  <c r="E160" i="1"/>
  <c r="D160" i="1"/>
  <c r="E159" i="1"/>
  <c r="D159" i="1"/>
  <c r="E158" i="1"/>
  <c r="D158" i="1"/>
  <c r="E157" i="1"/>
  <c r="D157" i="1"/>
  <c r="E156" i="1"/>
  <c r="D156" i="1"/>
  <c r="E155" i="1"/>
  <c r="D155" i="1"/>
  <c r="E154" i="1"/>
  <c r="D154" i="1"/>
  <c r="E153" i="1"/>
  <c r="D153" i="1"/>
  <c r="E152" i="1"/>
  <c r="D152" i="1"/>
  <c r="E151" i="1"/>
  <c r="D151" i="1"/>
  <c r="E150" i="1"/>
  <c r="D150" i="1"/>
  <c r="E149" i="1"/>
  <c r="D149" i="1"/>
  <c r="E148" i="1"/>
  <c r="D148" i="1"/>
  <c r="E147" i="1"/>
  <c r="D147" i="1"/>
  <c r="E146" i="1"/>
  <c r="D146" i="1"/>
  <c r="E145" i="1"/>
  <c r="D145" i="1"/>
  <c r="E144" i="1"/>
  <c r="D144" i="1"/>
  <c r="E143" i="1"/>
  <c r="D143" i="1"/>
  <c r="E142" i="1"/>
  <c r="D142" i="1"/>
  <c r="E141" i="1"/>
  <c r="D141" i="1"/>
  <c r="E140" i="1"/>
  <c r="D140" i="1"/>
  <c r="E139" i="1"/>
  <c r="D139" i="1"/>
  <c r="E138" i="1"/>
  <c r="D138" i="1"/>
  <c r="E137" i="1"/>
  <c r="D137" i="1"/>
  <c r="E136" i="1"/>
  <c r="D136" i="1"/>
  <c r="E135" i="1"/>
  <c r="D135" i="1"/>
  <c r="E134" i="1"/>
  <c r="D134" i="1"/>
  <c r="E133" i="1"/>
  <c r="D133" i="1"/>
  <c r="E132" i="1"/>
  <c r="D132" i="1"/>
  <c r="E131" i="1"/>
  <c r="D131" i="1"/>
  <c r="E130" i="1"/>
  <c r="D130" i="1"/>
  <c r="E129" i="1"/>
  <c r="D129" i="1"/>
  <c r="E128" i="1"/>
  <c r="D128" i="1"/>
  <c r="E127" i="1"/>
  <c r="D127" i="1"/>
  <c r="E126" i="1"/>
  <c r="D126" i="1"/>
  <c r="E125" i="1"/>
  <c r="D125" i="1"/>
  <c r="E124" i="1"/>
  <c r="D124" i="1"/>
  <c r="D123" i="1"/>
  <c r="E122" i="1"/>
  <c r="D122" i="1"/>
  <c r="E121" i="1"/>
  <c r="D121" i="1"/>
  <c r="E120" i="1"/>
  <c r="D120" i="1"/>
  <c r="E119" i="1"/>
  <c r="D119" i="1"/>
  <c r="E118" i="1"/>
  <c r="D118" i="1"/>
  <c r="E117" i="1"/>
  <c r="D117" i="1"/>
  <c r="E116" i="1"/>
  <c r="D116" i="1"/>
  <c r="E115" i="1"/>
  <c r="D115" i="1"/>
  <c r="E114" i="1"/>
  <c r="D114" i="1"/>
  <c r="E113" i="1"/>
  <c r="D113" i="1"/>
  <c r="E112" i="1"/>
  <c r="D112" i="1"/>
  <c r="E111" i="1"/>
  <c r="D111" i="1"/>
  <c r="E110" i="1"/>
  <c r="D110" i="1"/>
  <c r="E109" i="1"/>
  <c r="D109" i="1"/>
  <c r="E108" i="1"/>
  <c r="D108" i="1"/>
  <c r="E107" i="1"/>
  <c r="D107" i="1"/>
  <c r="E106" i="1"/>
  <c r="D106" i="1"/>
  <c r="E105" i="1"/>
  <c r="D105" i="1"/>
  <c r="E104" i="1"/>
  <c r="D104" i="1"/>
  <c r="E103" i="1"/>
  <c r="D103" i="1"/>
  <c r="E102" i="1"/>
  <c r="D102" i="1"/>
  <c r="E101" i="1"/>
  <c r="D101"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 r="A4" i="2" l="1"/>
  <c r="I373" i="1"/>
  <c r="I332" i="1"/>
  <c r="I333" i="1"/>
  <c r="A5" i="2"/>
  <c r="I374" i="1"/>
  <c r="I334" i="1" l="1"/>
  <c r="A6" i="2"/>
  <c r="I375" i="1"/>
  <c r="I335" i="1" l="1"/>
  <c r="A7" i="2"/>
  <c r="I376" i="1"/>
  <c r="A8" i="2" l="1"/>
  <c r="I377" i="1"/>
  <c r="I336" i="1"/>
  <c r="I378" i="1" l="1"/>
  <c r="A9" i="2"/>
  <c r="I337" i="1"/>
  <c r="A10" i="2" l="1"/>
  <c r="I338" i="1"/>
  <c r="I379" i="1"/>
  <c r="A11" i="2" l="1"/>
  <c r="I339" i="1"/>
  <c r="I380" i="1"/>
  <c r="A12" i="2" l="1"/>
  <c r="I340" i="1"/>
  <c r="I381" i="1"/>
  <c r="A13" i="2" l="1"/>
  <c r="I341" i="1"/>
  <c r="I382" i="1"/>
  <c r="A14" i="2" l="1"/>
  <c r="I383" i="1"/>
  <c r="I342" i="1"/>
  <c r="I343" i="1" l="1"/>
  <c r="I384" i="1"/>
  <c r="A15" i="2"/>
  <c r="I344" i="1" l="1"/>
  <c r="I385" i="1"/>
  <c r="A16" i="2"/>
  <c r="I386" i="1" l="1"/>
  <c r="I345" i="1"/>
  <c r="A17" i="2"/>
  <c r="I387" i="1" l="1"/>
  <c r="I346" i="1"/>
  <c r="A18" i="2"/>
  <c r="I388" i="1" l="1"/>
  <c r="I347" i="1"/>
  <c r="A19" i="2"/>
  <c r="I348" i="1" l="1"/>
  <c r="A20" i="2"/>
  <c r="I389" i="1"/>
  <c r="A21" i="2" l="1"/>
  <c r="I390" i="1"/>
  <c r="I349" i="1"/>
  <c r="I391" i="1" l="1"/>
  <c r="A22" i="2"/>
  <c r="I350" i="1"/>
  <c r="I392" i="1" l="1"/>
  <c r="A23" i="2"/>
  <c r="I351" i="1"/>
  <c r="I393" i="1" l="1"/>
  <c r="I352" i="1"/>
  <c r="A24" i="2"/>
  <c r="A25" i="2" l="1"/>
  <c r="I353" i="1"/>
  <c r="I394" i="1"/>
  <c r="A26" i="2" l="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I39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OZON:</author>
    <author>&lt;анонимный&gt;</author>
  </authors>
  <commentList>
    <comment ref="AB1" authorId="0" shapeId="0" xr:uid="{00000000-0006-0000-0000-000001000000}">
      <text>
        <r>
          <rPr>
            <sz val="10"/>
            <rFont val="Arial"/>
            <family val="2"/>
            <charset val="204"/>
          </rPr>
          <t>OZON:</t>
        </r>
        <r>
          <rPr>
            <sz val="9"/>
            <color rgb="FF000000"/>
            <rFont val="Calibri"/>
            <family val="2"/>
            <charset val="204"/>
          </rPr>
          <t xml:space="preserve">Укажите ставку НДС. Если товар не облагается НДС или вы не платите НДС, укажите Не облагается. </t>
        </r>
      </text>
    </comment>
    <comment ref="AC1" authorId="0" shapeId="0" xr:uid="{00000000-0006-0000-0000-000002000000}">
      <text>
        <r>
          <rPr>
            <sz val="10"/>
            <rFont val="Arial"/>
            <family val="2"/>
            <charset val="204"/>
          </rPr>
          <t>OZON:</t>
        </r>
        <r>
          <rPr>
            <sz val="9"/>
            <color rgb="FF000000"/>
            <rFont val="Calibri"/>
            <family val="2"/>
            <charset val="204"/>
          </rPr>
          <t xml:space="preserve">Выберите «Да», чтобы покупатели видели ваш товар чаще. </t>
        </r>
      </text>
    </comment>
    <comment ref="AD1" authorId="0" shapeId="0" xr:uid="{00000000-0006-0000-0000-000003000000}">
      <text>
        <r>
          <rPr>
            <sz val="10"/>
            <rFont val="Arial"/>
            <family val="2"/>
            <charset val="204"/>
          </rPr>
          <t>OZON:</t>
        </r>
        <r>
          <rPr>
            <sz val="9"/>
            <color rgb="FF000000"/>
            <rFont val="Calibri"/>
            <family val="2"/>
            <charset val="204"/>
          </rPr>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r>
      </text>
    </comment>
    <comment ref="AE1" authorId="0" shapeId="0" xr:uid="{00000000-0006-0000-0000-000004000000}">
      <text>
        <r>
          <rPr>
            <sz val="10"/>
            <rFont val="Arial"/>
            <family val="2"/>
            <charset val="204"/>
          </rPr>
          <t>OZON:Вы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r>
      </text>
    </comment>
    <comment ref="AF1" authorId="0" shapeId="0" xr:uid="{00000000-0006-0000-0000-000005000000}">
      <text>
        <r>
          <rPr>
            <sz val="10"/>
            <rFont val="Arial"/>
            <family val="2"/>
            <charset val="204"/>
          </rPr>
          <t xml:space="preserve">OZON:Укажите название модели товара. Не указывайте в этом поле тип и бренд. </t>
        </r>
      </text>
    </comment>
    <comment ref="AG1" authorId="0" shapeId="0" xr:uid="{00000000-0006-0000-0000-000006000000}">
      <text>
        <r>
          <rPr>
            <sz val="10"/>
            <rFont val="Arial"/>
            <family val="2"/>
            <charset val="204"/>
          </rPr>
          <t>OZON:</t>
        </r>
        <r>
          <rPr>
            <sz val="9"/>
            <color rgb="FF000000"/>
            <rFont val="Calibri"/>
            <family val="2"/>
            <charset val="204"/>
          </rPr>
          <t xml:space="preserve">Укажите базовый или доминирующий цвет вашего товара, выбрав значение из списка. Если точного соответствия вы не находите, используйте ближайшие похожие цвета. 
Сложные цвета нужно описывать перечислением простых цветов. Например, если вы описываете шмеля, и у него, очевидно, преобладают чёрный, жёлтый и белый цвета, то укажите их все простым перечислением. 
Помните, что атрибут Цвет товара - это базовый цвет, все любые другие цвета вы можете прописать в атрибуте Название цвета.
 </t>
        </r>
      </text>
    </comment>
    <comment ref="AH1" authorId="0" shapeId="0" xr:uid="{00000000-0006-0000-0000-000007000000}">
      <text>
        <r>
          <rPr>
            <sz val="10"/>
            <rFont val="Arial"/>
            <family val="2"/>
            <charset val="204"/>
          </rPr>
          <t>OZON:</t>
        </r>
        <r>
          <rPr>
            <sz val="9"/>
            <color rgb="FF000000"/>
            <rFont val="Calibri"/>
            <family val="2"/>
            <charset val="204"/>
          </rPr>
          <t xml:space="preserve">Укажите словесное описание цвета вашего товара. Если товар имеет красивое название цвета от поставщика, не ограничивайте себя, укажите его. Для косметики смело пишите номера тонов и оттенков, и даже "Нежная голубая лазурь" будет уместна. </t>
        </r>
      </text>
    </comment>
    <comment ref="AI1" authorId="0" shapeId="0" xr:uid="{00000000-0006-0000-0000-000008000000}">
      <text>
        <r>
          <rPr>
            <sz val="10"/>
            <rFont val="Arial"/>
            <family val="2"/>
            <charset val="204"/>
          </rPr>
          <t>OZON:</t>
        </r>
        <r>
          <rPr>
            <sz val="9"/>
            <color rgb="FF000000"/>
            <rFont val="Calibri"/>
            <family val="2"/>
            <charset val="204"/>
          </rPr>
          <t xml:space="preserve">Выберите наиболее подходящий тип товара. По типам товары распределяются по категориям на сайте Ozon. Если тип указан неправильно, товар попадет в неверную категорию. Чтобы правильно указать тип, найдите на сайте Ozon товары, похожие на ваш, и посмотрите, какой тип у них указан. </t>
        </r>
      </text>
    </comment>
    <comment ref="AJ1" authorId="0" shapeId="0" xr:uid="{00000000-0006-0000-0000-000009000000}">
      <text>
        <r>
          <rPr>
            <sz val="10"/>
            <rFont val="Arial"/>
            <family val="2"/>
            <charset val="204"/>
          </rPr>
          <t>OZON:</t>
        </r>
        <r>
          <rPr>
            <sz val="9"/>
            <color rgb="FF000000"/>
            <rFont val="Calibri"/>
            <family val="2"/>
            <charset val="204"/>
          </rPr>
          <t xml:space="preserve">Описание товара, маркетинговый текст. Необходимо заполнять на русском языке. </t>
        </r>
      </text>
    </comment>
    <comment ref="AK1" authorId="0" shapeId="0" xr:uid="{00000000-0006-0000-0000-00000A000000}">
      <text>
        <r>
          <rPr>
            <sz val="10"/>
            <rFont val="Arial"/>
            <family val="2"/>
            <charset val="204"/>
          </rPr>
          <t>OZON:</t>
        </r>
        <r>
          <rPr>
            <sz val="9"/>
            <color rgb="FF000000"/>
            <rFont val="Calibri"/>
            <family val="2"/>
            <charset val="204"/>
          </rPr>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r>
      </text>
    </comment>
    <comment ref="AL1" authorId="0" shapeId="0" xr:uid="{00000000-0006-0000-0000-00000B000000}">
      <text>
        <r>
          <rPr>
            <sz val="10"/>
            <rFont val="Arial"/>
            <family val="2"/>
            <charset val="204"/>
          </rPr>
          <t>OZON:</t>
        </r>
        <r>
          <rPr>
            <sz val="9"/>
            <color rgb="FF000000"/>
            <rFont val="Calibri"/>
            <family val="2"/>
            <charset val="204"/>
          </rPr>
          <t xml:space="preserve">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 </t>
        </r>
      </text>
    </comment>
    <comment ref="AM1" authorId="1" shapeId="0" xr:uid="{00000000-0006-0000-0000-00000C000000}">
      <text>
        <r>
          <rPr>
            <sz val="10"/>
            <rFont val="Arial"/>
            <family val="2"/>
            <charset val="204"/>
          </rPr>
          <t>OZON:</t>
        </r>
        <r>
          <rPr>
            <sz val="9"/>
            <color rgb="FF000000"/>
            <rFont val="Calibri"/>
            <family val="2"/>
            <charset val="1"/>
          </rPr>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r>
      </text>
    </comment>
    <comment ref="AN1" authorId="1" shapeId="0" xr:uid="{00000000-0006-0000-0000-00000D000000}">
      <text>
        <r>
          <rPr>
            <sz val="10"/>
            <rFont val="Arial"/>
            <family val="2"/>
            <charset val="204"/>
          </rPr>
          <t>OZON:</t>
        </r>
        <r>
          <rPr>
            <sz val="9"/>
            <color rgb="FF000000"/>
            <rFont val="Calibri"/>
            <family val="2"/>
            <charset val="1"/>
          </rPr>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 ref="AO1" authorId="0" shapeId="0" xr:uid="{00000000-0006-0000-0000-00000E000000}">
      <text>
        <r>
          <rPr>
            <sz val="10"/>
            <rFont val="Arial"/>
            <family val="2"/>
            <charset val="204"/>
          </rPr>
          <t>OZON:Измерьте в миллиметрах любую сторону товара в заводской упаковке. Если упаковки нет, то сам товар.
Изделие неправильной формы измерьте от одного края до другого.
Комплект из нескольких позиций сложите вместе стопкой.
Одежду, текстиль, наборы для вышивания сложите пополам в упаковке. https://seller-edu.ozon.ru/docs/work-with-goods/trebovaniya-k-kartochkam-tovarov/ovh.html#как-правильно-измерить-длину-ширину-и-высоту</t>
        </r>
      </text>
    </comment>
    <comment ref="AP1" authorId="0" shapeId="0" xr:uid="{00000000-0006-0000-0000-00000F000000}">
      <text>
        <r>
          <rPr>
            <sz val="10"/>
            <rFont val="Arial"/>
            <family val="2"/>
            <charset val="204"/>
          </rPr>
          <t>OZON:Измерьте в миллиметрах любую сторону товара в заводской упаковке. Если упаковки нет, то сам товар.
Изделие неправильной формы измерьте от одного края до другого.
Комплект из нескольких позиций сложите вместе стопкой.
Одежду, текстиль, наборы для вышивания сложите пополам в упаковке. https://seller-edu.ozon.ru/docs/work-with-goods/trebovaniya-k-kartochkam-tovarov/ovh.html#как-правильно-измерить-длину-ширину-и-высоту</t>
        </r>
      </text>
    </comment>
  </commentList>
</comments>
</file>

<file path=xl/sharedStrings.xml><?xml version="1.0" encoding="utf-8"?>
<sst xmlns="http://schemas.openxmlformats.org/spreadsheetml/2006/main" count="8289" uniqueCount="3192">
  <si>
    <t>Артикул</t>
  </si>
  <si>
    <t>штрихкод</t>
  </si>
  <si>
    <t>Имя файла картинки для карточки</t>
  </si>
  <si>
    <t>Local_PDF_Path_Column_Name</t>
  </si>
  <si>
    <t>путь к печати</t>
  </si>
  <si>
    <t>Rotate</t>
  </si>
  <si>
    <t>Раскладка в ширину</t>
  </si>
  <si>
    <t>путь папки в облако</t>
  </si>
  <si>
    <t>место</t>
  </si>
  <si>
    <t>Предмет</t>
  </si>
  <si>
    <t>Бренд</t>
  </si>
  <si>
    <t>Цвет</t>
  </si>
  <si>
    <t>Пол</t>
  </si>
  <si>
    <t>Артикул продавца</t>
  </si>
  <si>
    <t>Артикул WB</t>
  </si>
  <si>
    <t>Наименование</t>
  </si>
  <si>
    <t>Баркод товара</t>
  </si>
  <si>
    <t>Цена</t>
  </si>
  <si>
    <t>Состав</t>
  </si>
  <si>
    <t>Описание</t>
  </si>
  <si>
    <t>Высота упаковки</t>
  </si>
  <si>
    <t>Длина упаковки</t>
  </si>
  <si>
    <t>Ширина упаковки</t>
  </si>
  <si>
    <t>Вес товара с упаковкой (г)</t>
  </si>
  <si>
    <t>Страна производства</t>
  </si>
  <si>
    <t>Медиафайлы</t>
  </si>
  <si>
    <t>OZON</t>
  </si>
  <si>
    <t>НДС, %*</t>
  </si>
  <si>
    <t>Включить продвижение</t>
  </si>
  <si>
    <t>Ссылка на главное фото*</t>
  </si>
  <si>
    <t>Ссылки на дополнительные фото</t>
  </si>
  <si>
    <t>Название модели (для объединения в одну карточку)*</t>
  </si>
  <si>
    <t>Цвет товара</t>
  </si>
  <si>
    <t>Название цвета</t>
  </si>
  <si>
    <t>Тип*</t>
  </si>
  <si>
    <t>Аннотация</t>
  </si>
  <si>
    <t>Образец цвета</t>
  </si>
  <si>
    <t>Ключевые слова</t>
  </si>
  <si>
    <t>Вес в упаковке, г*</t>
  </si>
  <si>
    <t>Ширина упаковки, мм*</t>
  </si>
  <si>
    <t>Высота упаковки, мм*</t>
  </si>
  <si>
    <t>Длина упаковки, мм*</t>
  </si>
  <si>
    <t>Тип упорядочить</t>
  </si>
  <si>
    <t>SKU</t>
  </si>
  <si>
    <t>Термобирки Михаил</t>
  </si>
  <si>
    <t>OZN1295887283</t>
  </si>
  <si>
    <t>Mihail</t>
  </si>
  <si>
    <t>н1</t>
  </si>
  <si>
    <t>Punky Monkey</t>
  </si>
  <si>
    <t>Documents\GitHub\Ozon_upload\barcode\бирки имена\мальчики\"; K2; ".pdf")</t>
  </si>
  <si>
    <t>Не облагается</t>
  </si>
  <si>
    <t>4_имена</t>
  </si>
  <si>
    <t>Термобирки Александр</t>
  </si>
  <si>
    <t>OZN1296040082</t>
  </si>
  <si>
    <t>Alexandr</t>
  </si>
  <si>
    <t>н2</t>
  </si>
  <si>
    <t>Термобирки Максим</t>
  </si>
  <si>
    <t>OZN1296046505</t>
  </si>
  <si>
    <t>Maxim</t>
  </si>
  <si>
    <t>н3</t>
  </si>
  <si>
    <t>Термобирки Артем</t>
  </si>
  <si>
    <t>OZN1296047725</t>
  </si>
  <si>
    <t>Artem</t>
  </si>
  <si>
    <t>н4</t>
  </si>
  <si>
    <t>Термобирки Марк</t>
  </si>
  <si>
    <t>OZN1296049140</t>
  </si>
  <si>
    <t>Mark</t>
  </si>
  <si>
    <t>н5</t>
  </si>
  <si>
    <t>Термобирки Лев</t>
  </si>
  <si>
    <t>OZN1296049859</t>
  </si>
  <si>
    <t>Lev</t>
  </si>
  <si>
    <t>н6</t>
  </si>
  <si>
    <t>Термобирки Иван</t>
  </si>
  <si>
    <t>OZN1296050885</t>
  </si>
  <si>
    <t>Ivan</t>
  </si>
  <si>
    <t>н7</t>
  </si>
  <si>
    <t>Термобирки Матвей</t>
  </si>
  <si>
    <t>OZN1296052287</t>
  </si>
  <si>
    <t>Matvey</t>
  </si>
  <si>
    <t>н8</t>
  </si>
  <si>
    <t>Термобирки Даниил</t>
  </si>
  <si>
    <t>OZN1296053030</t>
  </si>
  <si>
    <t>Daniil</t>
  </si>
  <si>
    <t>н9</t>
  </si>
  <si>
    <t>Термобирки Дмитрий</t>
  </si>
  <si>
    <t>OZN1296053164</t>
  </si>
  <si>
    <t>Dmitriy</t>
  </si>
  <si>
    <t>н10</t>
  </si>
  <si>
    <t>Термобирки Тимофей</t>
  </si>
  <si>
    <t>OZN1296053524</t>
  </si>
  <si>
    <t>Timofey</t>
  </si>
  <si>
    <t>н11</t>
  </si>
  <si>
    <t>Термобирки Роман</t>
  </si>
  <si>
    <t>OZN1296053904</t>
  </si>
  <si>
    <t>Roman</t>
  </si>
  <si>
    <t>н12</t>
  </si>
  <si>
    <t>Термобирки Мирон</t>
  </si>
  <si>
    <t>OZN1296054484</t>
  </si>
  <si>
    <t>Miron</t>
  </si>
  <si>
    <t>н13</t>
  </si>
  <si>
    <t>Термобирки Мухаммад</t>
  </si>
  <si>
    <t>OZN1296054645</t>
  </si>
  <si>
    <t>Muhammad</t>
  </si>
  <si>
    <t>н14</t>
  </si>
  <si>
    <t>Термобирки Кирилл</t>
  </si>
  <si>
    <t>OZN1296064490</t>
  </si>
  <si>
    <t>Kirill</t>
  </si>
  <si>
    <t>н15</t>
  </si>
  <si>
    <t>Термобирки Егор</t>
  </si>
  <si>
    <t>OZN1296064516</t>
  </si>
  <si>
    <t>Egor</t>
  </si>
  <si>
    <t>н16</t>
  </si>
  <si>
    <t>Термобирки Илья</t>
  </si>
  <si>
    <t>OZN1296064895</t>
  </si>
  <si>
    <t>Ilya</t>
  </si>
  <si>
    <t>н17</t>
  </si>
  <si>
    <t>Термобирки Алексей</t>
  </si>
  <si>
    <t>OZN1296065057</t>
  </si>
  <si>
    <t>Alexey</t>
  </si>
  <si>
    <t>н18</t>
  </si>
  <si>
    <t>Термобирки Константин</t>
  </si>
  <si>
    <t>OZN1296065334</t>
  </si>
  <si>
    <t>Konstantin</t>
  </si>
  <si>
    <t>н19</t>
  </si>
  <si>
    <t>Термобирки Фёдор</t>
  </si>
  <si>
    <t>OZN1296065955</t>
  </si>
  <si>
    <t>Fedor</t>
  </si>
  <si>
    <t>н20</t>
  </si>
  <si>
    <t>Термобирки Евгений</t>
  </si>
  <si>
    <t>OZN1296065971</t>
  </si>
  <si>
    <t>Evgeniy</t>
  </si>
  <si>
    <t>н21</t>
  </si>
  <si>
    <t>Термобирки Денис</t>
  </si>
  <si>
    <t>OZN1296066026</t>
  </si>
  <si>
    <t>Denis</t>
  </si>
  <si>
    <t>н22</t>
  </si>
  <si>
    <t>Термобирки Антон</t>
  </si>
  <si>
    <t>OZN1296066072</t>
  </si>
  <si>
    <t>Anton</t>
  </si>
  <si>
    <t>н23</t>
  </si>
  <si>
    <t>Термобирки Игорь</t>
  </si>
  <si>
    <t>OZN1296066808</t>
  </si>
  <si>
    <t>Igor</t>
  </si>
  <si>
    <t>н24</t>
  </si>
  <si>
    <t>Термобирки Юрий</t>
  </si>
  <si>
    <t>OZN1296066929</t>
  </si>
  <si>
    <t>Uriy</t>
  </si>
  <si>
    <t>н25</t>
  </si>
  <si>
    <t>Термобирки Олег</t>
  </si>
  <si>
    <t>OZN1296067164</t>
  </si>
  <si>
    <t>Oleg</t>
  </si>
  <si>
    <t>н26</t>
  </si>
  <si>
    <t>Термобирки Вячеслав</t>
  </si>
  <si>
    <t>OZN1296067225</t>
  </si>
  <si>
    <t>Vyacheslav</t>
  </si>
  <si>
    <t>н27</t>
  </si>
  <si>
    <t>Термобирки Станислав</t>
  </si>
  <si>
    <t>OZN1296067356</t>
  </si>
  <si>
    <t>Stanislav</t>
  </si>
  <si>
    <t>н28</t>
  </si>
  <si>
    <t>Термобирки Василий</t>
  </si>
  <si>
    <t>OZN1296067925</t>
  </si>
  <si>
    <t>Vasiliy</t>
  </si>
  <si>
    <t>н29</t>
  </si>
  <si>
    <t>Термобирки Вадим</t>
  </si>
  <si>
    <t>OZN1296067966</t>
  </si>
  <si>
    <t>Vadim</t>
  </si>
  <si>
    <t>н30</t>
  </si>
  <si>
    <t>Термобирки Макар</t>
  </si>
  <si>
    <t>OZN1296068268</t>
  </si>
  <si>
    <t>Makar</t>
  </si>
  <si>
    <t>н31</t>
  </si>
  <si>
    <t>Термобирки Адам</t>
  </si>
  <si>
    <t>OZN1296068270</t>
  </si>
  <si>
    <t>Adam</t>
  </si>
  <si>
    <t>н32</t>
  </si>
  <si>
    <t>Термобирки Богдан</t>
  </si>
  <si>
    <t>OZN1296068312</t>
  </si>
  <si>
    <t>Bogdan</t>
  </si>
  <si>
    <t>н33</t>
  </si>
  <si>
    <t>Термобирки Платон</t>
  </si>
  <si>
    <t>OZN1296074062</t>
  </si>
  <si>
    <t>Platon</t>
  </si>
  <si>
    <t>н34</t>
  </si>
  <si>
    <t>Термобирки Леон</t>
  </si>
  <si>
    <t>OZN1296068464</t>
  </si>
  <si>
    <t>Leon</t>
  </si>
  <si>
    <t>н35</t>
  </si>
  <si>
    <t>Термобирки Савелий</t>
  </si>
  <si>
    <t>OZN1296068498</t>
  </si>
  <si>
    <t>Saveliy</t>
  </si>
  <si>
    <t>н36</t>
  </si>
  <si>
    <t>Термобирки Демид</t>
  </si>
  <si>
    <t>OZN1296068698</t>
  </si>
  <si>
    <t>Demid</t>
  </si>
  <si>
    <t>н37</t>
  </si>
  <si>
    <t>Термобирки Лука</t>
  </si>
  <si>
    <t>OZN1296069051</t>
  </si>
  <si>
    <t>Luka</t>
  </si>
  <si>
    <t>н38</t>
  </si>
  <si>
    <t>Термобирки Савва</t>
  </si>
  <si>
    <t>OZN1296069068</t>
  </si>
  <si>
    <t>Savva</t>
  </si>
  <si>
    <t>н39</t>
  </si>
  <si>
    <t>Термобирки Мирослав</t>
  </si>
  <si>
    <t>OZN1296069108</t>
  </si>
  <si>
    <t>Miroslav</t>
  </si>
  <si>
    <t>н40</t>
  </si>
  <si>
    <t>Термобирки София</t>
  </si>
  <si>
    <t>OZN1302305863</t>
  </si>
  <si>
    <t>Sofia</t>
  </si>
  <si>
    <t>н41</t>
  </si>
  <si>
    <t>Термобирки Анна</t>
  </si>
  <si>
    <t>OZN1302411737</t>
  </si>
  <si>
    <t>Анна</t>
  </si>
  <si>
    <t>н42</t>
  </si>
  <si>
    <t>Термобирки Мария</t>
  </si>
  <si>
    <t>OZN1302410399</t>
  </si>
  <si>
    <t>Maria</t>
  </si>
  <si>
    <t>н43</t>
  </si>
  <si>
    <t>Термобирки Ева</t>
  </si>
  <si>
    <t>OZN1302409528</t>
  </si>
  <si>
    <t>Eva</t>
  </si>
  <si>
    <t>н44</t>
  </si>
  <si>
    <t>Термобирки Алиса</t>
  </si>
  <si>
    <t>OZN1302409496</t>
  </si>
  <si>
    <t>Alisa</t>
  </si>
  <si>
    <t>н45</t>
  </si>
  <si>
    <t>Термобирки Есения</t>
  </si>
  <si>
    <t>OZN1302409123</t>
  </si>
  <si>
    <t>Eseniya</t>
  </si>
  <si>
    <t>н46</t>
  </si>
  <si>
    <t>Термобирки Екатерина</t>
  </si>
  <si>
    <t>OZN1302407604</t>
  </si>
  <si>
    <t>Ekaterina</t>
  </si>
  <si>
    <t>н47</t>
  </si>
  <si>
    <t>Термобирки Светлана</t>
  </si>
  <si>
    <t>OZN1302408948</t>
  </si>
  <si>
    <t>Svetlana</t>
  </si>
  <si>
    <t>н48</t>
  </si>
  <si>
    <t>Термобирки Полина</t>
  </si>
  <si>
    <t>OZN1302409185</t>
  </si>
  <si>
    <t>Polina</t>
  </si>
  <si>
    <t>н49</t>
  </si>
  <si>
    <t>Термобирки Оливия</t>
  </si>
  <si>
    <t>OZN1302409422</t>
  </si>
  <si>
    <t>Olivia</t>
  </si>
  <si>
    <t>н50</t>
  </si>
  <si>
    <t>Термобирки Агата</t>
  </si>
  <si>
    <t>OZN1302409156</t>
  </si>
  <si>
    <t>Agata</t>
  </si>
  <si>
    <t>н51</t>
  </si>
  <si>
    <t>Термобирки Милана</t>
  </si>
  <si>
    <t>OZN1302408933</t>
  </si>
  <si>
    <t>Milana</t>
  </si>
  <si>
    <t>н52</t>
  </si>
  <si>
    <t>Термобирки Амалия</t>
  </si>
  <si>
    <t>OZN1302409343</t>
  </si>
  <si>
    <t>Amaliya</t>
  </si>
  <si>
    <t>н53</t>
  </si>
  <si>
    <t>Термобирки Виктория</t>
  </si>
  <si>
    <t>OZN1302407457</t>
  </si>
  <si>
    <t>Viktoria</t>
  </si>
  <si>
    <t>н54</t>
  </si>
  <si>
    <t>Термобирки Ясмина</t>
  </si>
  <si>
    <t>OZN1302408828</t>
  </si>
  <si>
    <t>Yasmina</t>
  </si>
  <si>
    <t>н55</t>
  </si>
  <si>
    <t>Термобирки Дарья</t>
  </si>
  <si>
    <t>OZN1302409355</t>
  </si>
  <si>
    <t>Darya</t>
  </si>
  <si>
    <t>н56</t>
  </si>
  <si>
    <t>Термобирки Александра</t>
  </si>
  <si>
    <t>OZN1302409458</t>
  </si>
  <si>
    <t>Alexandra</t>
  </si>
  <si>
    <t>н57</t>
  </si>
  <si>
    <t>Термобирки Любовь</t>
  </si>
  <si>
    <t>OZN1302418750</t>
  </si>
  <si>
    <t>Lubov</t>
  </si>
  <si>
    <t>н58</t>
  </si>
  <si>
    <t>Термобирки Ольга</t>
  </si>
  <si>
    <t>OZN1302408951</t>
  </si>
  <si>
    <t>Olga</t>
  </si>
  <si>
    <t>н59</t>
  </si>
  <si>
    <t>Термобирки Татьяна</t>
  </si>
  <si>
    <t>OZN1302409195</t>
  </si>
  <si>
    <t>Tatyana</t>
  </si>
  <si>
    <t>н60</t>
  </si>
  <si>
    <t>Термобирки Аврора</t>
  </si>
  <si>
    <t>OZN1302409287</t>
  </si>
  <si>
    <t>Avrora</t>
  </si>
  <si>
    <t>н61</t>
  </si>
  <si>
    <t>Термобирки Ксения</t>
  </si>
  <si>
    <t>OZN1302409277</t>
  </si>
  <si>
    <t>Kseniya</t>
  </si>
  <si>
    <t>н62</t>
  </si>
  <si>
    <t>Термобирки Варвара</t>
  </si>
  <si>
    <t>OZN1302409448</t>
  </si>
  <si>
    <t>Varvara</t>
  </si>
  <si>
    <t>н63</t>
  </si>
  <si>
    <t>Термобирки Наталья</t>
  </si>
  <si>
    <t>OZN1302407716</t>
  </si>
  <si>
    <t>Natalya</t>
  </si>
  <si>
    <t>н64</t>
  </si>
  <si>
    <t>Термобирки Анастасия</t>
  </si>
  <si>
    <t>OZN1302409268</t>
  </si>
  <si>
    <t>Anastasia</t>
  </si>
  <si>
    <t>н65</t>
  </si>
  <si>
    <t>Термобирки Марина</t>
  </si>
  <si>
    <t>OZN1302409069</t>
  </si>
  <si>
    <t>Marina</t>
  </si>
  <si>
    <t>н66</t>
  </si>
  <si>
    <t>Термобирки Елена</t>
  </si>
  <si>
    <t>OZN1302409074</t>
  </si>
  <si>
    <t>Elena</t>
  </si>
  <si>
    <t>н67</t>
  </si>
  <si>
    <t>Термобирки Надежда</t>
  </si>
  <si>
    <t>OZN1302407720</t>
  </si>
  <si>
    <t>Nadejda</t>
  </si>
  <si>
    <t>н68</t>
  </si>
  <si>
    <t>Термобирки Эмилия</t>
  </si>
  <si>
    <t>OZN1302409040</t>
  </si>
  <si>
    <t>Emiliya</t>
  </si>
  <si>
    <t>н69</t>
  </si>
  <si>
    <t>Термобирки Арина</t>
  </si>
  <si>
    <t>OZN1302409009</t>
  </si>
  <si>
    <t>Arina</t>
  </si>
  <si>
    <t>н70</t>
  </si>
  <si>
    <t>Термобирки Мирослава</t>
  </si>
  <si>
    <t>OZN1302409296</t>
  </si>
  <si>
    <t>Miroslava</t>
  </si>
  <si>
    <t>н71</t>
  </si>
  <si>
    <t>Термобирки Ирина</t>
  </si>
  <si>
    <t>OZN1302407725</t>
  </si>
  <si>
    <t>Irina</t>
  </si>
  <si>
    <t>н72</t>
  </si>
  <si>
    <t>Термобирки Агния</t>
  </si>
  <si>
    <t>OZN1302409086</t>
  </si>
  <si>
    <t>Agniya</t>
  </si>
  <si>
    <t>н73</t>
  </si>
  <si>
    <t>Термобирки Кира</t>
  </si>
  <si>
    <t>OZN1302409262</t>
  </si>
  <si>
    <t>Kira</t>
  </si>
  <si>
    <t>н74</t>
  </si>
  <si>
    <t>Термобирки Вероника</t>
  </si>
  <si>
    <t>OZN1302408998</t>
  </si>
  <si>
    <t>Veronika</t>
  </si>
  <si>
    <t>н75</t>
  </si>
  <si>
    <t>Термобирки Василиса</t>
  </si>
  <si>
    <t>OZN1302409288</t>
  </si>
  <si>
    <t>Vasilisa</t>
  </si>
  <si>
    <t>н76</t>
  </si>
  <si>
    <t>Термобирки Елизавета</t>
  </si>
  <si>
    <t>OZN1302409438</t>
  </si>
  <si>
    <t>Elisaveta</t>
  </si>
  <si>
    <t>н77</t>
  </si>
  <si>
    <t>Термобирки Юлия</t>
  </si>
  <si>
    <t>OZN1302409546</t>
  </si>
  <si>
    <t>Julia</t>
  </si>
  <si>
    <t>н78</t>
  </si>
  <si>
    <t>Термобирки Мира</t>
  </si>
  <si>
    <t>OZN1302410561</t>
  </si>
  <si>
    <t>Mira</t>
  </si>
  <si>
    <t>н79</t>
  </si>
  <si>
    <t>Термобирки Аделина</t>
  </si>
  <si>
    <t>OZN1302409334</t>
  </si>
  <si>
    <t>Adelina</t>
  </si>
  <si>
    <t>н80</t>
  </si>
  <si>
    <t>Термобирки Владимир</t>
  </si>
  <si>
    <t>OZN1325160332</t>
  </si>
  <si>
    <t>Vladimir</t>
  </si>
  <si>
    <t>н81</t>
  </si>
  <si>
    <t>Термобирки Ярослав</t>
  </si>
  <si>
    <t>OZN1325161455</t>
  </si>
  <si>
    <t>Yaroslav</t>
  </si>
  <si>
    <t>н82</t>
  </si>
  <si>
    <t>Термобирки Семён</t>
  </si>
  <si>
    <t>OZN1325162457</t>
  </si>
  <si>
    <t>Semen</t>
  </si>
  <si>
    <t>н83</t>
  </si>
  <si>
    <t>Термобирки Сергей</t>
  </si>
  <si>
    <t>OZN1325163089</t>
  </si>
  <si>
    <t>Sergey</t>
  </si>
  <si>
    <t>н84</t>
  </si>
  <si>
    <t>Термобирки Степан</t>
  </si>
  <si>
    <t>OZN1325163507</t>
  </si>
  <si>
    <t>Stepan</t>
  </si>
  <si>
    <t>н85</t>
  </si>
  <si>
    <t>Термобирки Данил</t>
  </si>
  <si>
    <t>OZN1325164077</t>
  </si>
  <si>
    <t>Danil</t>
  </si>
  <si>
    <t>н86</t>
  </si>
  <si>
    <t>Термобирки Аглая</t>
  </si>
  <si>
    <t>OZN2366379897</t>
  </si>
  <si>
    <t>Aglaya</t>
  </si>
  <si>
    <t>н87</t>
  </si>
  <si>
    <t>Термобирки Виолетта</t>
  </si>
  <si>
    <t>OZN2366379413</t>
  </si>
  <si>
    <t>Violetta</t>
  </si>
  <si>
    <t>н88</t>
  </si>
  <si>
    <t>Термобирки Кристина</t>
  </si>
  <si>
    <t>OZN2366379589</t>
  </si>
  <si>
    <t>Kristina</t>
  </si>
  <si>
    <t>н89</t>
  </si>
  <si>
    <t>Термобирки Марьяна</t>
  </si>
  <si>
    <t>OZN2366379582</t>
  </si>
  <si>
    <t>Maryana</t>
  </si>
  <si>
    <t>н90</t>
  </si>
  <si>
    <t>Термобирки Маргарита</t>
  </si>
  <si>
    <t>OZN2366390031</t>
  </si>
  <si>
    <t>Margarita</t>
  </si>
  <si>
    <t>н91</t>
  </si>
  <si>
    <t>Термобирки Ульяна</t>
  </si>
  <si>
    <t>OZN2366379751</t>
  </si>
  <si>
    <t>Ulyana</t>
  </si>
  <si>
    <t>н92</t>
  </si>
  <si>
    <t>Термобирки Владислава</t>
  </si>
  <si>
    <t>OZN2366379732</t>
  </si>
  <si>
    <t>Vladislava</t>
  </si>
  <si>
    <t>н93</t>
  </si>
  <si>
    <t>Термобирки Альбина</t>
  </si>
  <si>
    <t>OZN2366379560</t>
  </si>
  <si>
    <t>Albina</t>
  </si>
  <si>
    <t>н94</t>
  </si>
  <si>
    <t>Термобирки Евгения</t>
  </si>
  <si>
    <t>OZN2366379688</t>
  </si>
  <si>
    <t>Evgenya</t>
  </si>
  <si>
    <t>н95</t>
  </si>
  <si>
    <t>Термобирки Вера</t>
  </si>
  <si>
    <t>OZN2366380729</t>
  </si>
  <si>
    <t>Vera</t>
  </si>
  <si>
    <t>н96</t>
  </si>
  <si>
    <t>Термобирки Ника</t>
  </si>
  <si>
    <t>OZN2366379865</t>
  </si>
  <si>
    <t>Nika</t>
  </si>
  <si>
    <t>н97</t>
  </si>
  <si>
    <t>Термобирки Гордей</t>
  </si>
  <si>
    <t>OZN2365502823</t>
  </si>
  <si>
    <t>Gordey</t>
  </si>
  <si>
    <t>н98</t>
  </si>
  <si>
    <t>Термобирки Тимур</t>
  </si>
  <si>
    <t>OZN2365501443</t>
  </si>
  <si>
    <t>Timur</t>
  </si>
  <si>
    <t>н99</t>
  </si>
  <si>
    <t>Термобирки Григорий</t>
  </si>
  <si>
    <t>OZN2365501184</t>
  </si>
  <si>
    <t>Grigori</t>
  </si>
  <si>
    <t>н100</t>
  </si>
  <si>
    <t>Термобирки Николай</t>
  </si>
  <si>
    <t>OZN2365501207</t>
  </si>
  <si>
    <t>Nikolay</t>
  </si>
  <si>
    <t>н101</t>
  </si>
  <si>
    <t>Термобирки Давид</t>
  </si>
  <si>
    <t>OZN2365501731</t>
  </si>
  <si>
    <t>David</t>
  </si>
  <si>
    <t>н102</t>
  </si>
  <si>
    <t>Термобирки Влад</t>
  </si>
  <si>
    <t>OZN2365502926</t>
  </si>
  <si>
    <t>Vlad</t>
  </si>
  <si>
    <t>н103</t>
  </si>
  <si>
    <t>Термобирки Леонид</t>
  </si>
  <si>
    <t>OZN2365501701</t>
  </si>
  <si>
    <t>Leonid</t>
  </si>
  <si>
    <t>н104</t>
  </si>
  <si>
    <t>Термобирки Святослав</t>
  </si>
  <si>
    <t>OZN2365503926</t>
  </si>
  <si>
    <t>Svyatoslav</t>
  </si>
  <si>
    <t>н105</t>
  </si>
  <si>
    <t>Термобирки Вениамин</t>
  </si>
  <si>
    <t>OZN2365503413</t>
  </si>
  <si>
    <t>Veniamin</t>
  </si>
  <si>
    <t>н106</t>
  </si>
  <si>
    <t>Термобирки Захар</t>
  </si>
  <si>
    <t>OZN2365502448</t>
  </si>
  <si>
    <t>Zahar</t>
  </si>
  <si>
    <t>н107</t>
  </si>
  <si>
    <t>Термобирки Арсений</t>
  </si>
  <si>
    <t>OZN2365501953</t>
  </si>
  <si>
    <t>Arseni</t>
  </si>
  <si>
    <t>н108</t>
  </si>
  <si>
    <t>Термобирки Никита</t>
  </si>
  <si>
    <t>OZN2365501685</t>
  </si>
  <si>
    <t>Nikita</t>
  </si>
  <si>
    <t>н109</t>
  </si>
  <si>
    <t>Термобирки Виктор</t>
  </si>
  <si>
    <t>OZN2365502402</t>
  </si>
  <si>
    <t>Viktor</t>
  </si>
  <si>
    <t>н110</t>
  </si>
  <si>
    <t>Термобирки Глеб</t>
  </si>
  <si>
    <t>OZN2365502837</t>
  </si>
  <si>
    <t>Gleb</t>
  </si>
  <si>
    <t>н111</t>
  </si>
  <si>
    <t>Термобирки Стас</t>
  </si>
  <si>
    <t>OZN2365501244</t>
  </si>
  <si>
    <t>Stas</t>
  </si>
  <si>
    <t>н112</t>
  </si>
  <si>
    <t>Термобирки Артур</t>
  </si>
  <si>
    <t>OZN2365501039</t>
  </si>
  <si>
    <t>Artur</t>
  </si>
  <si>
    <t>н113</t>
  </si>
  <si>
    <t>Термобирки Павел</t>
  </si>
  <si>
    <t>OZN2365504590</t>
  </si>
  <si>
    <t>Pavel</t>
  </si>
  <si>
    <t>н114</t>
  </si>
  <si>
    <t>Термобирки Дисней мальчики</t>
  </si>
  <si>
    <t>OZN1054600320</t>
  </si>
  <si>
    <t>г2</t>
  </si>
  <si>
    <t>3_термобирки</t>
  </si>
  <si>
    <t>Термобирки Дисней девочки</t>
  </si>
  <si>
    <t>OZN1054576404</t>
  </si>
  <si>
    <t>г4</t>
  </si>
  <si>
    <t>Термобирки Спанч боб, Соник ежик</t>
  </si>
  <si>
    <t>OZN1054572723</t>
  </si>
  <si>
    <t>г9</t>
  </si>
  <si>
    <t>Термобирки Котята</t>
  </si>
  <si>
    <t>OZN1158935807</t>
  </si>
  <si>
    <t>г14</t>
  </si>
  <si>
    <t>Термобирки Человек-Паук</t>
  </si>
  <si>
    <t>OZN1214578624</t>
  </si>
  <si>
    <t>г6</t>
  </si>
  <si>
    <t>Термобирки Щенячий патруль</t>
  </si>
  <si>
    <t>OZN1214740252</t>
  </si>
  <si>
    <t>г15</t>
  </si>
  <si>
    <t>Термобирки Майнкрафт</t>
  </si>
  <si>
    <t>OZN1214823094</t>
  </si>
  <si>
    <t>г5</t>
  </si>
  <si>
    <t>Термобирки белые 30шт</t>
  </si>
  <si>
    <t>OZN1215540233</t>
  </si>
  <si>
    <t>termoprints_white_a5</t>
  </si>
  <si>
    <t>г1</t>
  </si>
  <si>
    <t>Термобирки Хаги Ваги</t>
  </si>
  <si>
    <t>OZN1235284831</t>
  </si>
  <si>
    <t>г10</t>
  </si>
  <si>
    <t>Термобирки Транспорт</t>
  </si>
  <si>
    <t>OZN1235362594</t>
  </si>
  <si>
    <t>г3</t>
  </si>
  <si>
    <t>Термобирки Единороги</t>
  </si>
  <si>
    <t>OZN1244859383</t>
  </si>
  <si>
    <t>г12</t>
  </si>
  <si>
    <t>Термобирки Пиксар Дисней</t>
  </si>
  <si>
    <t>OZN1244873167</t>
  </si>
  <si>
    <t>г8</t>
  </si>
  <si>
    <t>Термобирки Гарри Поттер</t>
  </si>
  <si>
    <t>OZN1244897302</t>
  </si>
  <si>
    <t>г11</t>
  </si>
  <si>
    <t>Термобирки белые рамка 30шт</t>
  </si>
  <si>
    <t>OZN1244912967</t>
  </si>
  <si>
    <t>г16</t>
  </si>
  <si>
    <t>Термобирки Леди Баг</t>
  </si>
  <si>
    <t>OZN1275573417</t>
  </si>
  <si>
    <t>г7</t>
  </si>
  <si>
    <t>Термонаклейка Фея</t>
  </si>
  <si>
    <t>OZN1335436121</t>
  </si>
  <si>
    <t>м15</t>
  </si>
  <si>
    <t>2_а5</t>
  </si>
  <si>
    <t>Термонаклейка Котята. Кот в ванной</t>
  </si>
  <si>
    <t>OZN1336883090</t>
  </si>
  <si>
    <t>м28</t>
  </si>
  <si>
    <t>Термонаклейка Котята. День рождения</t>
  </si>
  <si>
    <t>OZN1336886951</t>
  </si>
  <si>
    <t>м29</t>
  </si>
  <si>
    <t>Термонаклейка Котята. Кот с пиццей</t>
  </si>
  <si>
    <t>OZN1336985571</t>
  </si>
  <si>
    <t>м32</t>
  </si>
  <si>
    <t>Термонаклейка Девочки</t>
  </si>
  <si>
    <t>OZN1336986276</t>
  </si>
  <si>
    <t>м18</t>
  </si>
  <si>
    <t>Термонаклейка Ежик праздник</t>
  </si>
  <si>
    <t>OZN1336986150</t>
  </si>
  <si>
    <t>м11</t>
  </si>
  <si>
    <t>Термонаклейка Кот единорог</t>
  </si>
  <si>
    <t>OZN1336985761</t>
  </si>
  <si>
    <t>м70</t>
  </si>
  <si>
    <t>Термонаклейка Динозавры</t>
  </si>
  <si>
    <t>OZN1336985573</t>
  </si>
  <si>
    <t>м20</t>
  </si>
  <si>
    <t>Термонаклейка Зайчики</t>
  </si>
  <si>
    <t>OZN1336986004</t>
  </si>
  <si>
    <t>м9</t>
  </si>
  <si>
    <t>Термонаклейка Мишка с сердечками</t>
  </si>
  <si>
    <t>OZN1336985639</t>
  </si>
  <si>
    <t>м69</t>
  </si>
  <si>
    <t>Термонаклейка Собачки</t>
  </si>
  <si>
    <t>OZN1336985689</t>
  </si>
  <si>
    <t>м46</t>
  </si>
  <si>
    <t>Термонаклейка Единорог и балерина</t>
  </si>
  <si>
    <t>OZN1336986278</t>
  </si>
  <si>
    <t>м5</t>
  </si>
  <si>
    <t>Термонаклейка Бабочки</t>
  </si>
  <si>
    <t>OZN1336986212</t>
  </si>
  <si>
    <t>м6</t>
  </si>
  <si>
    <t>Термонаклейка Мишка моряк</t>
  </si>
  <si>
    <t>OZN1336985806</t>
  </si>
  <si>
    <t>м50</t>
  </si>
  <si>
    <t>Термонаклейка Единороги набор</t>
  </si>
  <si>
    <t>OZN1336986092</t>
  </si>
  <si>
    <t>м63</t>
  </si>
  <si>
    <t>Термонаклейка Мишка пилот</t>
  </si>
  <si>
    <t>OZN1336985420</t>
  </si>
  <si>
    <t>м10</t>
  </si>
  <si>
    <t>Термонаклейка Минни Маус улыбка</t>
  </si>
  <si>
    <t>OZN1336986360</t>
  </si>
  <si>
    <t>minni_mouse_smile</t>
  </si>
  <si>
    <t>м1</t>
  </si>
  <si>
    <t>Термонаклейка Крокодил серфинг</t>
  </si>
  <si>
    <t>OZN1336985658</t>
  </si>
  <si>
    <t>м35</t>
  </si>
  <si>
    <t>Термонаклейка Котята. Кот в кружке</t>
  </si>
  <si>
    <t>OZN1336986476</t>
  </si>
  <si>
    <t>м58</t>
  </si>
  <si>
    <t>Термонаклейка Минни Маус Единорог</t>
  </si>
  <si>
    <t>OZN1336986435</t>
  </si>
  <si>
    <t>м49</t>
  </si>
  <si>
    <t>Термонаклейка Минни Маус Набор</t>
  </si>
  <si>
    <t>OZN1336986249</t>
  </si>
  <si>
    <t>м39</t>
  </si>
  <si>
    <t>Термонаклейка Крокодил футбол</t>
  </si>
  <si>
    <t>OZN1336986298</t>
  </si>
  <si>
    <t>м51</t>
  </si>
  <si>
    <t>Термонаклейка Девушка волосы облако</t>
  </si>
  <si>
    <t>OZN1425245752</t>
  </si>
  <si>
    <t>1_girl_with_cloud_hair</t>
  </si>
  <si>
    <t>---</t>
  </si>
  <si>
    <t>1_а4</t>
  </si>
  <si>
    <t>Термонаклейка Девушка очки с краской розовой</t>
  </si>
  <si>
    <t>OZN1425243566</t>
  </si>
  <si>
    <t>2_girl_pink_glasses</t>
  </si>
  <si>
    <t>а7</t>
  </si>
  <si>
    <t>6_а4_настройки_60</t>
  </si>
  <si>
    <t>Термонаклейка Мэрилин Монро поп арт вырезки</t>
  </si>
  <si>
    <t>OZN1425250627</t>
  </si>
  <si>
    <t>3_merlin_monroe_popart</t>
  </si>
  <si>
    <t>а17</t>
  </si>
  <si>
    <t>Термонаклейка Африканская Девушка черный силуэт</t>
  </si>
  <si>
    <t>OZN1425250669</t>
  </si>
  <si>
    <t>4_blackgirl1_250</t>
  </si>
  <si>
    <t>а20</t>
  </si>
  <si>
    <t>Термонаклейка Кот Шанель Chanel</t>
  </si>
  <si>
    <t>OZN1425250687</t>
  </si>
  <si>
    <t>5_cat_channel_250</t>
  </si>
  <si>
    <t>а27</t>
  </si>
  <si>
    <t>Термонаклейка Кот выглядывает радуга</t>
  </si>
  <si>
    <t>OZN1425250595</t>
  </si>
  <si>
    <t>6_cat_face_250</t>
  </si>
  <si>
    <t>Термонаклейка Кот картина Ван Гог</t>
  </si>
  <si>
    <t>OZN1425250644</t>
  </si>
  <si>
    <t>7_cat250</t>
  </si>
  <si>
    <t>а16</t>
  </si>
  <si>
    <t>Термонаклейка мультяшный Кот картина Ван Гог</t>
  </si>
  <si>
    <t>OZN1425250751</t>
  </si>
  <si>
    <t>8_cat250_1</t>
  </si>
  <si>
    <t>а4</t>
  </si>
  <si>
    <t>Термонаклейка Женщина кошка ест вишинку</t>
  </si>
  <si>
    <t>OZN1425250714</t>
  </si>
  <si>
    <t>9_cherry_250</t>
  </si>
  <si>
    <t>а42</t>
  </si>
  <si>
    <t>Термонаклейка Красные перцы</t>
  </si>
  <si>
    <t>OZN1425250634</t>
  </si>
  <si>
    <t>10_chillis</t>
  </si>
  <si>
    <t>а21</t>
  </si>
  <si>
    <t>Термонаклейка Dior Диор Девушка курит облако</t>
  </si>
  <si>
    <t>OZN1425250643</t>
  </si>
  <si>
    <t>11_dior2_260</t>
  </si>
  <si>
    <t>а43</t>
  </si>
  <si>
    <t>Термонаклейка Dior Диор Цветы</t>
  </si>
  <si>
    <t>OZN1425250773</t>
  </si>
  <si>
    <t>12_dior250</t>
  </si>
  <si>
    <t>а10</t>
  </si>
  <si>
    <t>Термонаклейка Vogue Вог Эйфелева башня</t>
  </si>
  <si>
    <t>OZN1425250607</t>
  </si>
  <si>
    <t>13_efel250</t>
  </si>
  <si>
    <t>а39</t>
  </si>
  <si>
    <t>Термонаклейка Бюст статуи Feelings скрыты глаза</t>
  </si>
  <si>
    <t>OZN1425266743</t>
  </si>
  <si>
    <t>14_feelings_250</t>
  </si>
  <si>
    <t>а35</t>
  </si>
  <si>
    <t>Термонаклейка Рыба паттерн яркая красивая</t>
  </si>
  <si>
    <t>OZN1425250727</t>
  </si>
  <si>
    <t>15_fish250</t>
  </si>
  <si>
    <t>а38</t>
  </si>
  <si>
    <t>Термонаклейка Розовый Фламинго цветок</t>
  </si>
  <si>
    <t>OZN1425250716</t>
  </si>
  <si>
    <t>16_flamingo250</t>
  </si>
  <si>
    <t>а15</t>
  </si>
  <si>
    <t>Термонаклейка Дали Ван Гог Фрида Кало в машине</t>
  </si>
  <si>
    <t>OZN1425250740</t>
  </si>
  <si>
    <t>17_freands1_250</t>
  </si>
  <si>
    <t>а2</t>
  </si>
  <si>
    <t>Термонаклейка Женщина кошка пьет молоко из стакана</t>
  </si>
  <si>
    <t>OZN1425250766</t>
  </si>
  <si>
    <t>18_girl_drink_250</t>
  </si>
  <si>
    <t>а3</t>
  </si>
  <si>
    <t>Термонаклейка Африка Девушка разнацветные воосы</t>
  </si>
  <si>
    <t>OZN1425266611</t>
  </si>
  <si>
    <t>19_girl_hair_250</t>
  </si>
  <si>
    <t>а25</t>
  </si>
  <si>
    <t>Термонаклейка Леопардовая блондинка девушка mood</t>
  </si>
  <si>
    <t>OZN1425250726</t>
  </si>
  <si>
    <t>20_girl1_260</t>
  </si>
  <si>
    <t>а44</t>
  </si>
  <si>
    <t>Термонаклейка Цветы Черный Силуэт Девушки</t>
  </si>
  <si>
    <t>OZN1425250712</t>
  </si>
  <si>
    <t>21_head250</t>
  </si>
  <si>
    <t>а19</t>
  </si>
  <si>
    <t>Термонаклейка Леопардовое сердце поцелуй губ</t>
  </si>
  <si>
    <t>OZN1425250774</t>
  </si>
  <si>
    <t>22_heart2_20</t>
  </si>
  <si>
    <t>а8</t>
  </si>
  <si>
    <t>Термонаклейка Девушка с чупа чупсом I dont care</t>
  </si>
  <si>
    <t>OZN1425250863</t>
  </si>
  <si>
    <t>24_idontcare_250</t>
  </si>
  <si>
    <t>а30</t>
  </si>
  <si>
    <t>Термонаклейка Аниме девочка с мечом розовые волосы</t>
  </si>
  <si>
    <t>OZN1425250847</t>
  </si>
  <si>
    <t>25_japan1_250</t>
  </si>
  <si>
    <t>а45</t>
  </si>
  <si>
    <t>Термонаклейка Аниме девочка в куртке со стикерами</t>
  </si>
  <si>
    <t>OZN1425250720</t>
  </si>
  <si>
    <t>26_japan2_250</t>
  </si>
  <si>
    <t>а46</t>
  </si>
  <si>
    <t>Термонаклейка Сейлор Мун в куртке Sailor Moon</t>
  </si>
  <si>
    <t>OZN1425275426</t>
  </si>
  <si>
    <t>27_japan3_250</t>
  </si>
  <si>
    <t>а18</t>
  </si>
  <si>
    <t>Термонаклейка Аниме Девочка с чупа чупсом</t>
  </si>
  <si>
    <t>OZN1425250629</t>
  </si>
  <si>
    <t>28_japan4_250</t>
  </si>
  <si>
    <t>а47</t>
  </si>
  <si>
    <t>Термонаклейка Аниме Девочка с черным капюшоном</t>
  </si>
  <si>
    <t>OZN1425266666</t>
  </si>
  <si>
    <t>29_japan5_250</t>
  </si>
  <si>
    <t>а9</t>
  </si>
  <si>
    <t>Термонаклейка Аниме Девочка в розовый капюшоном</t>
  </si>
  <si>
    <t>OZN1425266747</t>
  </si>
  <si>
    <t>30_japan6_250</t>
  </si>
  <si>
    <t>а6</t>
  </si>
  <si>
    <t>Термонаклейка Девушка Блондинка с котом на голове</t>
  </si>
  <si>
    <t>OZN1425250655</t>
  </si>
  <si>
    <t>31_japan7_250</t>
  </si>
  <si>
    <t>а32</t>
  </si>
  <si>
    <t>Термонаклейка Поцелуй берега и реки картина маслом</t>
  </si>
  <si>
    <t>OZN1425250633</t>
  </si>
  <si>
    <t>32_kiss_art2_250</t>
  </si>
  <si>
    <t>а34</t>
  </si>
  <si>
    <t>Термонаклейка картина Поцелуй Густава Климта</t>
  </si>
  <si>
    <t>OZN1425250579</t>
  </si>
  <si>
    <t>33_kiss_art3_250</t>
  </si>
  <si>
    <t>а1</t>
  </si>
  <si>
    <t>Термонаклейка Поцелуй в космосе картина маслом</t>
  </si>
  <si>
    <t>OZN1425250606</t>
  </si>
  <si>
    <t>34_kiss250</t>
  </si>
  <si>
    <t>а5</t>
  </si>
  <si>
    <t>Термонаклейка Губы с чупа чупсом</t>
  </si>
  <si>
    <t>OZN1425250874</t>
  </si>
  <si>
    <t>35_leaps1_250</t>
  </si>
  <si>
    <t>а36</t>
  </si>
  <si>
    <t>Термонаклейка Dolce Gabbana Дольче Габбана лимоны</t>
  </si>
  <si>
    <t>OZN1425250776</t>
  </si>
  <si>
    <t>36_lemons250</t>
  </si>
  <si>
    <t>а11</t>
  </si>
  <si>
    <t>Термонаклейка надпись love любовь 3 раза</t>
  </si>
  <si>
    <t>OZN1425250722</t>
  </si>
  <si>
    <t>37_love2_250</t>
  </si>
  <si>
    <t>а29</t>
  </si>
  <si>
    <t>Термонаклейка надпись love любовь</t>
  </si>
  <si>
    <t>OZN1425250661</t>
  </si>
  <si>
    <t>38_love220</t>
  </si>
  <si>
    <t>а52</t>
  </si>
  <si>
    <t>Термонаклейка Мэрилин Монро Supreme Суприм глаза</t>
  </si>
  <si>
    <t>OZN1425250650</t>
  </si>
  <si>
    <t>39_MERLIN2_250</t>
  </si>
  <si>
    <t>а14</t>
  </si>
  <si>
    <t>Термонаклейка Микки Маус надписи на фоне</t>
  </si>
  <si>
    <t>OZN1425250758</t>
  </si>
  <si>
    <t>40_mickey1_20</t>
  </si>
  <si>
    <t>а28</t>
  </si>
  <si>
    <t>Термонаклейка картина Девушка с сережкой Билли</t>
  </si>
  <si>
    <t>OZN1425266670</t>
  </si>
  <si>
    <t>41_perl_girl_250</t>
  </si>
  <si>
    <t>а48</t>
  </si>
  <si>
    <t>Термонаклейка Play Boy губы обложка губы марка</t>
  </si>
  <si>
    <t>OZN1425266577</t>
  </si>
  <si>
    <t>42_playboy250</t>
  </si>
  <si>
    <t>а31</t>
  </si>
  <si>
    <t>Термонаклейка Змеи Змея на розовом фоне паттерн</t>
  </si>
  <si>
    <t>OZN1425266721</t>
  </si>
  <si>
    <t>43_snake250</t>
  </si>
  <si>
    <t>а49</t>
  </si>
  <si>
    <t>Термонаклейка Солнце Цветок в ретро</t>
  </si>
  <si>
    <t>OZN1425275399</t>
  </si>
  <si>
    <t>44_sun1_250</t>
  </si>
  <si>
    <t>а37</t>
  </si>
  <si>
    <t>Термонаклейка Тигр розовый крупный план</t>
  </si>
  <si>
    <t>OZN1425250805</t>
  </si>
  <si>
    <t>45_tiger_face_260</t>
  </si>
  <si>
    <t>а26</t>
  </si>
  <si>
    <t>Термонаклейка Леопард розовый крупный план</t>
  </si>
  <si>
    <t>OZN1425250781</t>
  </si>
  <si>
    <t>46_tiger_pink250</t>
  </si>
  <si>
    <t>а12</t>
  </si>
  <si>
    <t>Термонаклейка Кит в море картина маслом</t>
  </si>
  <si>
    <t>OZN1425250733</t>
  </si>
  <si>
    <t>47_whale_226</t>
  </si>
  <si>
    <t>а33</t>
  </si>
  <si>
    <t>Термонаклейка Бокал красного вина сердце</t>
  </si>
  <si>
    <t>OZN1425250678</t>
  </si>
  <si>
    <t>48_wine250</t>
  </si>
  <si>
    <t>а50</t>
  </si>
  <si>
    <t>Термонаклейка Джокер поп арт Joker</t>
  </si>
  <si>
    <t>OZN1425250735</t>
  </si>
  <si>
    <t>49_ZEE_Why_So_Serious_250</t>
  </si>
  <si>
    <t>а22</t>
  </si>
  <si>
    <r>
      <rPr>
        <sz val="11"/>
        <color rgb="FF000000"/>
        <rFont val="Calibri"/>
        <family val="2"/>
        <charset val="204"/>
      </rPr>
      <t xml:space="preserve">Термонаклейка </t>
    </r>
    <r>
      <rPr>
        <sz val="10"/>
        <color rgb="FF000000"/>
        <rFont val="Arial"/>
        <family val="2"/>
        <charset val="204"/>
      </rPr>
      <t xml:space="preserve">Одри Хепбёрн </t>
    </r>
    <r>
      <rPr>
        <sz val="11"/>
        <color rgb="FF000000"/>
        <rFont val="Calibri"/>
        <family val="2"/>
        <charset val="204"/>
      </rPr>
      <t>поп арт</t>
    </r>
  </si>
  <si>
    <t>OZN1425250637</t>
  </si>
  <si>
    <t>50_Audrey Hepburn</t>
  </si>
  <si>
    <t>а23</t>
  </si>
  <si>
    <t>Термонаклейка Мона Лиза, Фрида Кало свадьба</t>
  </si>
  <si>
    <t>OZN1431071314</t>
  </si>
  <si>
    <t>51_monalisa_wedding</t>
  </si>
  <si>
    <t>а24</t>
  </si>
  <si>
    <t>Термонаклейка Мона Лиза, Фрида Кало, коктели</t>
  </si>
  <si>
    <t>OZN1431096420</t>
  </si>
  <si>
    <t>52_monalisa_cocktails</t>
  </si>
  <si>
    <t>а13</t>
  </si>
  <si>
    <t>Термонаклейка Киллиан Мёрфи Острые козырьки</t>
  </si>
  <si>
    <t>OZN1431070205</t>
  </si>
  <si>
    <t>53_Cillian_Murphy_popart</t>
  </si>
  <si>
    <t>а51</t>
  </si>
  <si>
    <t>Термонаклейка Джон уик john wick дым из глаз</t>
  </si>
  <si>
    <t>OZN1431089549</t>
  </si>
  <si>
    <r>
      <rPr>
        <sz val="10"/>
        <color rgb="FF000000"/>
        <rFont val="Arial"/>
        <family val="2"/>
        <charset val="204"/>
      </rPr>
      <t>54_</t>
    </r>
    <r>
      <rPr>
        <sz val="11"/>
        <color rgb="FF000000"/>
        <rFont val="Calibri"/>
        <family val="2"/>
        <charset val="204"/>
      </rPr>
      <t>john_wick</t>
    </r>
    <r>
      <rPr>
        <sz val="10"/>
        <color rgb="FF000000"/>
        <rFont val="Arial"/>
        <family val="2"/>
        <charset val="204"/>
      </rPr>
      <t>_smoke</t>
    </r>
  </si>
  <si>
    <t>Термонаклейка Космонавт на луне ловит звезды</t>
  </si>
  <si>
    <t>OZN1463857418</t>
  </si>
  <si>
    <t>astronaut_a_horiz</t>
  </si>
  <si>
    <t>м83</t>
  </si>
  <si>
    <t>Термонаклейка Кот вцепился сползает вниз</t>
  </si>
  <si>
    <t>OZN1463858196</t>
  </si>
  <si>
    <t>cat_clow_vert</t>
  </si>
  <si>
    <t>м42</t>
  </si>
  <si>
    <t>Термонаклейка Котенок выглядывает из стены</t>
  </si>
  <si>
    <t>OZN1463877577</t>
  </si>
  <si>
    <t>cat_wall_a_vert</t>
  </si>
  <si>
    <t>м12</t>
  </si>
  <si>
    <t>Термонаклейка Динозавр голова из стены</t>
  </si>
  <si>
    <t>OZN1463874053</t>
  </si>
  <si>
    <t>dino_a_vert</t>
  </si>
  <si>
    <t>м43</t>
  </si>
  <si>
    <t>Термонаклейка Дракон полностью сломал стену</t>
  </si>
  <si>
    <t>OZN1463875645</t>
  </si>
  <si>
    <t>dino_b_vert</t>
  </si>
  <si>
    <t>м33</t>
  </si>
  <si>
    <t>Термонаклейка Собачка с букетом цветов</t>
  </si>
  <si>
    <t>OZN1463877002</t>
  </si>
  <si>
    <t>dog_a_vert</t>
  </si>
  <si>
    <t>м65</t>
  </si>
  <si>
    <t>Термонаклейка Эльза холодное сердце</t>
  </si>
  <si>
    <t>OZN1463875013</t>
  </si>
  <si>
    <t>elsa_a_horiz</t>
  </si>
  <si>
    <t>м53</t>
  </si>
  <si>
    <t>Термонаклейка Эльза и Анна вместе холодное сердце</t>
  </si>
  <si>
    <t>OZN1463874283</t>
  </si>
  <si>
    <t>elsa_b_horiz</t>
  </si>
  <si>
    <t>м38</t>
  </si>
  <si>
    <t>Термонаклейка Том и Джерри в очках</t>
  </si>
  <si>
    <t>OZN1463877271</t>
  </si>
  <si>
    <t>jerry_a_vert</t>
  </si>
  <si>
    <t>м47</t>
  </si>
  <si>
    <t>Термонаклейка Жираф с цветком во рту</t>
  </si>
  <si>
    <t>OZN1463878321</t>
  </si>
  <si>
    <t>jiraph_a_vert</t>
  </si>
  <si>
    <t>м37</t>
  </si>
  <si>
    <t>Термонаклейка Марвел супергерои круг</t>
  </si>
  <si>
    <t>OZN1463877471</t>
  </si>
  <si>
    <t>marvel_a_vert</t>
  </si>
  <si>
    <t>м61</t>
  </si>
  <si>
    <t>Термонаклейка Марвел супергерои и надпись</t>
  </si>
  <si>
    <t>OZN1463874965</t>
  </si>
  <si>
    <t>marvel_b_horiz</t>
  </si>
  <si>
    <t>м57</t>
  </si>
  <si>
    <t>Термонаклейка Русалочка акварелью</t>
  </si>
  <si>
    <t>OZN1463877512</t>
  </si>
  <si>
    <t>mermaid_a_vert</t>
  </si>
  <si>
    <t>м67</t>
  </si>
  <si>
    <t>Термонаклейка Микки Маус руки в стороны надпись</t>
  </si>
  <si>
    <t>OZN1463873843</t>
  </si>
  <si>
    <t>mickey_a_vert</t>
  </si>
  <si>
    <t>м71</t>
  </si>
  <si>
    <t>Термонаклейка Микки Маус подмигивает синий круг</t>
  </si>
  <si>
    <t>OZN1463877691</t>
  </si>
  <si>
    <t>mickey_b_vert</t>
  </si>
  <si>
    <t>м24</t>
  </si>
  <si>
    <t>Термонаклейка Микки Маус мультфильмы внутри</t>
  </si>
  <si>
    <t>OZN1463873976</t>
  </si>
  <si>
    <t>mickey_c</t>
  </si>
  <si>
    <t>м30</t>
  </si>
  <si>
    <t>Термонаклейка Микки Маус надпись Дисней</t>
  </si>
  <si>
    <t>OZN1463876975</t>
  </si>
  <si>
    <t>mickey_c_horiz</t>
  </si>
  <si>
    <t>м52</t>
  </si>
  <si>
    <t>Термонаклейка Микки Маус и Минни сердечко</t>
  </si>
  <si>
    <t>OZN1463877184</t>
  </si>
  <si>
    <t>mickey_love_a_horiz</t>
  </si>
  <si>
    <t>м34</t>
  </si>
  <si>
    <t>Термонаклейка Микки Маус на желтом скейте</t>
  </si>
  <si>
    <t>OZN1463878347</t>
  </si>
  <si>
    <t>mickey_skater_horiz</t>
  </si>
  <si>
    <t>м72</t>
  </si>
  <si>
    <t>Термонаклейка Миньоны горкой из 6 штук</t>
  </si>
  <si>
    <t>OZN1463878336</t>
  </si>
  <si>
    <t>minions_a_vert</t>
  </si>
  <si>
    <t>м19</t>
  </si>
  <si>
    <t>Термонаклейка Миньоны горкой из 3 штук</t>
  </si>
  <si>
    <t>OZN1463875073</t>
  </si>
  <si>
    <t>minions_b_vert</t>
  </si>
  <si>
    <t>м13</t>
  </si>
  <si>
    <t>Термонаклейка Минни Маус зайчик в руках</t>
  </si>
  <si>
    <t>OZN1463877135</t>
  </si>
  <si>
    <t>minni_a_vert</t>
  </si>
  <si>
    <t>м36</t>
  </si>
  <si>
    <t>Термонаклейка Минни Маус и Дейзи утка</t>
  </si>
  <si>
    <t>OZN1463873717</t>
  </si>
  <si>
    <t>minni_b_vert</t>
  </si>
  <si>
    <t>м21</t>
  </si>
  <si>
    <t>Термонаклейка Минни Маус подмигивает в очках</t>
  </si>
  <si>
    <t>OZN1463874530</t>
  </si>
  <si>
    <t>minni_c_vert</t>
  </si>
  <si>
    <t>м73</t>
  </si>
  <si>
    <t>Термонаклейка Мишка в кепке делает селфи</t>
  </si>
  <si>
    <t>OZN1463874582</t>
  </si>
  <si>
    <t>mishka_a_vert</t>
  </si>
  <si>
    <t>м23</t>
  </si>
  <si>
    <t>Термонаклейка Пингвины с сердечками шарики</t>
  </si>
  <si>
    <t>OZN1463874598</t>
  </si>
  <si>
    <t>penguins_a_horiz</t>
  </si>
  <si>
    <t>м74</t>
  </si>
  <si>
    <t>Термонаклейка Зайчик держит две морковки</t>
  </si>
  <si>
    <t>OZN1463877530</t>
  </si>
  <si>
    <t>rabbit_a_vert</t>
  </si>
  <si>
    <t>м62</t>
  </si>
  <si>
    <t>Термонаклейка Зайка в цветах</t>
  </si>
  <si>
    <t>OZN1463874347</t>
  </si>
  <si>
    <t>rabbit_b_vert</t>
  </si>
  <si>
    <t>м4</t>
  </si>
  <si>
    <t>Термонаклейка Ежик Соник Тейлз Наклз Мания</t>
  </si>
  <si>
    <t>OZN1463877605</t>
  </si>
  <si>
    <t>sonic_b_vert</t>
  </si>
  <si>
    <t>м40</t>
  </si>
  <si>
    <t>Термонаклейка Ежик Соник бежит из кольца</t>
  </si>
  <si>
    <t>OZN1463877564</t>
  </si>
  <si>
    <t>sonic_run_vert</t>
  </si>
  <si>
    <t>м7</t>
  </si>
  <si>
    <t>Термонаклейка Человек Паук и Веном половинки</t>
  </si>
  <si>
    <t>OZN1463877507</t>
  </si>
  <si>
    <t>spider_a_vert</t>
  </si>
  <si>
    <t>м48</t>
  </si>
  <si>
    <t>Термонаклейка Спанч Боб руки в сторону</t>
  </si>
  <si>
    <t>OZN1463878507</t>
  </si>
  <si>
    <t>spunchbob_a_horiz</t>
  </si>
  <si>
    <t>м22</t>
  </si>
  <si>
    <t>Термонаклейка Спанч Боб и Патрик сидят</t>
  </si>
  <si>
    <t>OZN1463876548</t>
  </si>
  <si>
    <t>spunchbob_b_horiz</t>
  </si>
  <si>
    <t>м75</t>
  </si>
  <si>
    <t>Термонаклейка Черепашки Ниндзя классика</t>
  </si>
  <si>
    <t>OZN1463874673</t>
  </si>
  <si>
    <t>turtles_a_vert</t>
  </si>
  <si>
    <t>м16</t>
  </si>
  <si>
    <t>Термонаклейка Черепашки Ниндзя надпись снизу</t>
  </si>
  <si>
    <t>OZN1463874152</t>
  </si>
  <si>
    <t>turtles_b_vert</t>
  </si>
  <si>
    <t>м45</t>
  </si>
  <si>
    <t>Термонаклейка Единорог очки сердечки</t>
  </si>
  <si>
    <t>OZN1463877548</t>
  </si>
  <si>
    <t>unicorn_a_horiz</t>
  </si>
  <si>
    <t>м3</t>
  </si>
  <si>
    <t>Термонаклейка Единорог в облаках</t>
  </si>
  <si>
    <t>OZN1463875075</t>
  </si>
  <si>
    <t>unicorn_b_horiz</t>
  </si>
  <si>
    <t>м60</t>
  </si>
  <si>
    <t>Термонаклейка Единорог и бабочки</t>
  </si>
  <si>
    <t>OZN1463875930</t>
  </si>
  <si>
    <t>unicorn_c_horiz</t>
  </si>
  <si>
    <t>м41</t>
  </si>
  <si>
    <t>Термонаклейка Единорог корона и надпись внизу</t>
  </si>
  <si>
    <t>OZN1463874991</t>
  </si>
  <si>
    <t>unicorn_d_vert</t>
  </si>
  <si>
    <t>м76</t>
  </si>
  <si>
    <t>Термонаклейка Русалочка дисней</t>
  </si>
  <si>
    <t>OZN1489753704</t>
  </si>
  <si>
    <t>ariel_a_vert</t>
  </si>
  <si>
    <t>м31</t>
  </si>
  <si>
    <t>Термонаклейка Барт стоит с скейтом Симпсоны</t>
  </si>
  <si>
    <t>OZN1489755062</t>
  </si>
  <si>
    <t>bart_b_horiz</t>
  </si>
  <si>
    <t>м25</t>
  </si>
  <si>
    <t>Термонаклейка Барт Прыгает на скейте Симпсоны</t>
  </si>
  <si>
    <t>OZN1489755107</t>
  </si>
  <si>
    <t>bart_a_vert</t>
  </si>
  <si>
    <t>м77</t>
  </si>
  <si>
    <t>Термонаклейка Принцессы дисней</t>
  </si>
  <si>
    <t>OZN1489755132</t>
  </si>
  <si>
    <t>disney_ladies_a_horiz</t>
  </si>
  <si>
    <t>м55</t>
  </si>
  <si>
    <t>Термонаклейка Холодное сердце 3 Эльза Анна Олаф</t>
  </si>
  <si>
    <t>OZN1489755133</t>
  </si>
  <si>
    <t>elsa_anna_olaf_heart_art_horiz</t>
  </si>
  <si>
    <t>м44</t>
  </si>
  <si>
    <t>Термонаклейка Эльза Анна Холодное сердце стоят</t>
  </si>
  <si>
    <t>OZN1489755038</t>
  </si>
  <si>
    <t>elsa_anna_stand_vert</t>
  </si>
  <si>
    <t>м26</t>
  </si>
  <si>
    <t>Термонаклейка Эльза обнимает Олафа Холодное сердце</t>
  </si>
  <si>
    <t>OZN1489755557</t>
  </si>
  <si>
    <t>elsa_olaf_hug_a_vert</t>
  </si>
  <si>
    <t>м59</t>
  </si>
  <si>
    <t>Термонаклейка Хаги Ваги ест завтрак</t>
  </si>
  <si>
    <t>OZN1489755618</t>
  </si>
  <si>
    <t>huggy_a_vert</t>
  </si>
  <si>
    <t>м78</t>
  </si>
  <si>
    <t>Термонаклейка Хаги Ваги Голова и надпись</t>
  </si>
  <si>
    <t>OZN1489755022</t>
  </si>
  <si>
    <t>huggy_b_horiz</t>
  </si>
  <si>
    <t>м79</t>
  </si>
  <si>
    <t>Термонаклейка Халк зеленый круг фон</t>
  </si>
  <si>
    <t>OZN1489754949</t>
  </si>
  <si>
    <t>hulk_a_horiz</t>
  </si>
  <si>
    <t>м54</t>
  </si>
  <si>
    <t>Термонаклейка Джерри ест сыр</t>
  </si>
  <si>
    <t>OZN1489754898</t>
  </si>
  <si>
    <t>jerry_and_cheese_a_vert</t>
  </si>
  <si>
    <t>м27</t>
  </si>
  <si>
    <t>Термонаклейка Леди Баг сидит</t>
  </si>
  <si>
    <t>OZN1489755059</t>
  </si>
  <si>
    <t>lady_bug_a_vert</t>
  </si>
  <si>
    <t>м2</t>
  </si>
  <si>
    <t>Термонаклейка Король Лев сердце хвосты</t>
  </si>
  <si>
    <t>OZN1489754957</t>
  </si>
  <si>
    <t>lion_king_a_horiz</t>
  </si>
  <si>
    <t>м68</t>
  </si>
  <si>
    <t>Термонаклейка Май Литл Пони радуга</t>
  </si>
  <si>
    <t>OZN1489754989</t>
  </si>
  <si>
    <t>little_ponny_a_vert</t>
  </si>
  <si>
    <t>м17</t>
  </si>
  <si>
    <t>Термонаклейка Майнкрафт скачет на свинье</t>
  </si>
  <si>
    <t>OZN1489755030</t>
  </si>
  <si>
    <t>minecraft_a_vert</t>
  </si>
  <si>
    <t>м80</t>
  </si>
  <si>
    <t>Термонаклейка Минни Маус сидит сердечки</t>
  </si>
  <si>
    <t>OZN1489755051</t>
  </si>
  <si>
    <t>minni_hearts_a_vert</t>
  </si>
  <si>
    <t>м81</t>
  </si>
  <si>
    <t>Термонаклейка Минни Маус фея костюм</t>
  </si>
  <si>
    <t>OZN1489754799</t>
  </si>
  <si>
    <t>minni_hearts_blink_vert</t>
  </si>
  <si>
    <t>м14</t>
  </si>
  <si>
    <t>Термонаклейка Шенячий Патруль и Логотип</t>
  </si>
  <si>
    <t>OZN1489755095</t>
  </si>
  <si>
    <t>paw_patrol_a_vert</t>
  </si>
  <si>
    <t>м8</t>
  </si>
  <si>
    <t>Термонаклейка Шенячий Патруль полицеский</t>
  </si>
  <si>
    <t>OZN1489755020</t>
  </si>
  <si>
    <t>paw_patrol_b_horiz</t>
  </si>
  <si>
    <t>м56</t>
  </si>
  <si>
    <t>Термонаклейка Шенячий Патруль мальчик главный</t>
  </si>
  <si>
    <t>OZN1489755015</t>
  </si>
  <si>
    <t>paw_patrol_c_horiz</t>
  </si>
  <si>
    <t>м64</t>
  </si>
  <si>
    <t>Термонаклейка Черепашки Ниндзя фон треугольник</t>
  </si>
  <si>
    <t>OZN1489754845</t>
  </si>
  <si>
    <t>turtles_a_fighters_horiz</t>
  </si>
  <si>
    <t>м66</t>
  </si>
  <si>
    <t>Термонаклейка Барби фон розовый круг</t>
  </si>
  <si>
    <t>OZN1506380691</t>
  </si>
  <si>
    <t>barbie_ar45_tat_vert</t>
  </si>
  <si>
    <t>б33</t>
  </si>
  <si>
    <t>Amazing Pics</t>
  </si>
  <si>
    <t>1506380691</t>
  </si>
  <si>
    <t>Термонаклейка Барт с рогаткой Симпсоны</t>
  </si>
  <si>
    <t>OZN1506319410</t>
  </si>
  <si>
    <t>bart_df11_tat_horiz</t>
  </si>
  <si>
    <t>б54</t>
  </si>
  <si>
    <t>1506319410</t>
  </si>
  <si>
    <t>Термонаклейка Котенок в розовой кружке</t>
  </si>
  <si>
    <t>OZN1506318769</t>
  </si>
  <si>
    <t>cat_fg45_tat_vert</t>
  </si>
  <si>
    <t>б35</t>
  </si>
  <si>
    <t>1506318769</t>
  </si>
  <si>
    <t>Термонаклейка Котенок с цветами ромашками</t>
  </si>
  <si>
    <t>OZN1506319317</t>
  </si>
  <si>
    <t>cat_sd12_tat_vert</t>
  </si>
  <si>
    <t>б21</t>
  </si>
  <si>
    <t>1506319317</t>
  </si>
  <si>
    <t>Термонаклейка Котята на качелях</t>
  </si>
  <si>
    <t>OZN1506318429</t>
  </si>
  <si>
    <t>cats_ds34_tat_horiz</t>
  </si>
  <si>
    <t>б6</t>
  </si>
  <si>
    <t>1506318429</t>
  </si>
  <si>
    <t>Термонаклейка Динозавр в очках ест бургер</t>
  </si>
  <si>
    <t>OZN1506318356</t>
  </si>
  <si>
    <t>dino_as12_tat_vert</t>
  </si>
  <si>
    <t>б48</t>
  </si>
  <si>
    <t>1506318356</t>
  </si>
  <si>
    <t>Термонаклейка Собачка в шляпе</t>
  </si>
  <si>
    <t>OZN1506319095</t>
  </si>
  <si>
    <t>dog_ff11_tat_vert</t>
  </si>
  <si>
    <t>б36</t>
  </si>
  <si>
    <t>1506319095</t>
  </si>
  <si>
    <t>Термонаклейка Собачка в очках язык</t>
  </si>
  <si>
    <t>OZN1506318312</t>
  </si>
  <si>
    <t>dog_little_cute_ac12_tat_horiz</t>
  </si>
  <si>
    <t>б43</t>
  </si>
  <si>
    <t>1506318312</t>
  </si>
  <si>
    <t>Термонаклейка Собачка синий бантик</t>
  </si>
  <si>
    <t>OZN1506319427</t>
  </si>
  <si>
    <t>dog_little_cute_af45_vert</t>
  </si>
  <si>
    <t>б16</t>
  </si>
  <si>
    <t>1506319427</t>
  </si>
  <si>
    <t>Термонаклейка Собачка красный бантик</t>
  </si>
  <si>
    <t>OZN1506318949</t>
  </si>
  <si>
    <t>dog_sd12_tat_vert</t>
  </si>
  <si>
    <t>б12</t>
  </si>
  <si>
    <t>1506318949</t>
  </si>
  <si>
    <t>Термонаклейка Эльза Анна Холодное сердце паттерн</t>
  </si>
  <si>
    <t>OZN1506318673</t>
  </si>
  <si>
    <t>elsa_ad11_tat_vert</t>
  </si>
  <si>
    <t>б32</t>
  </si>
  <si>
    <t>1506318673</t>
  </si>
  <si>
    <t>Термонаклейка Эльза Холодное сердце синий круг</t>
  </si>
  <si>
    <t>OZN1506319362</t>
  </si>
  <si>
    <t>elsa_frozen_disneyfg56_tat_vert</t>
  </si>
  <si>
    <t>б23</t>
  </si>
  <si>
    <t>1506319362</t>
  </si>
  <si>
    <t>Термонаклейка Жирафвыглядывает замок одежды</t>
  </si>
  <si>
    <t>OZN1506318334</t>
  </si>
  <si>
    <t>giraf_ab11_tat_vert</t>
  </si>
  <si>
    <t>б29</t>
  </si>
  <si>
    <t>1506318334</t>
  </si>
  <si>
    <t>Термонаклейка Марвел супергерои 4 верт фона</t>
  </si>
  <si>
    <t>OZN1506319337</t>
  </si>
  <si>
    <t>marvel_ag45_tat_horiz</t>
  </si>
  <si>
    <t>б4</t>
  </si>
  <si>
    <t>1506319337</t>
  </si>
  <si>
    <t>Термонаклейка Русалочка поправляет прическу</t>
  </si>
  <si>
    <t>OZN1506319227</t>
  </si>
  <si>
    <t>mermaid_dd11_tat_vert</t>
  </si>
  <si>
    <t>б10</t>
  </si>
  <si>
    <t>1506319227</t>
  </si>
  <si>
    <t>Термонаклейка Миньоны на банане</t>
  </si>
  <si>
    <t>OZN1506318961</t>
  </si>
  <si>
    <t>minions_ed12_tat_horiz</t>
  </si>
  <si>
    <t>б20</t>
  </si>
  <si>
    <t>1506318961</t>
  </si>
  <si>
    <t>Термонаклейка Минни Маус Единорог розовый</t>
  </si>
  <si>
    <t>OZN1506319322</t>
  </si>
  <si>
    <t>minni_mouse_ad11_tat_horiz</t>
  </si>
  <si>
    <t>б53</t>
  </si>
  <si>
    <t>1506319322</t>
  </si>
  <si>
    <t>Термонаклейка Сова розовая</t>
  </si>
  <si>
    <t>OZN1506319456</t>
  </si>
  <si>
    <t>owl_ff11_tat_vert</t>
  </si>
  <si>
    <t>б28</t>
  </si>
  <si>
    <t>1506319456</t>
  </si>
  <si>
    <t>Термонаклейка Щенячий патруль 2 Маршал Крепыш</t>
  </si>
  <si>
    <t>OZN1506319229</t>
  </si>
  <si>
    <t>paw_patrol_as12_tat_vert</t>
  </si>
  <si>
    <t>б37</t>
  </si>
  <si>
    <t>1506319229</t>
  </si>
  <si>
    <r>
      <rPr>
        <sz val="10"/>
        <color rgb="FF000000"/>
        <rFont val="Arial"/>
        <family val="2"/>
        <charset val="204"/>
      </rPr>
      <t>Термонаклейка П</t>
    </r>
    <r>
      <rPr>
        <sz val="10"/>
        <rFont val="Arial"/>
        <family val="2"/>
        <charset val="204"/>
      </rPr>
      <t>окемоны Пикачу и Эш Кетчум</t>
    </r>
  </si>
  <si>
    <t>OZN1506319309</t>
  </si>
  <si>
    <t>pokemon_gg44_tat_vert</t>
  </si>
  <si>
    <t>б45</t>
  </si>
  <si>
    <t>1506319309</t>
  </si>
  <si>
    <t>Термонаклейка Винни Пух и друзья на шаре</t>
  </si>
  <si>
    <t>OZN1506319209</t>
  </si>
  <si>
    <t>pooh_qq11_tat_horiz</t>
  </si>
  <si>
    <t>б44</t>
  </si>
  <si>
    <t>1506319209</t>
  </si>
  <si>
    <t>Термонаклейка Зайчик синий комбинезон шагает</t>
  </si>
  <si>
    <t>OZN1506318654</t>
  </si>
  <si>
    <t>rabbit_df12_vert</t>
  </si>
  <si>
    <t>б19</t>
  </si>
  <si>
    <t>1506318654</t>
  </si>
  <si>
    <t>Термонаклейка Зайчик ромашка в руках</t>
  </si>
  <si>
    <t>OZN1506318053</t>
  </si>
  <si>
    <t>rabbit_we11_tat_horiz</t>
  </si>
  <si>
    <t>б7</t>
  </si>
  <si>
    <t>1506318053</t>
  </si>
  <si>
    <t>Термонаклейка Акула серфинг в очках</t>
  </si>
  <si>
    <t>OZN1506319423</t>
  </si>
  <si>
    <t>shark_af45_vert</t>
  </si>
  <si>
    <t>б39</t>
  </si>
  <si>
    <t>1506319423</t>
  </si>
  <si>
    <t>Термонаклейка Соник Ежик бежит пис мир рука</t>
  </si>
  <si>
    <t>OZN1506318830</t>
  </si>
  <si>
    <t>sonic_df45_tat_vert</t>
  </si>
  <si>
    <t>б17</t>
  </si>
  <si>
    <t>1506318830</t>
  </si>
  <si>
    <t>Термонаклейка Соник Ежик бежит синий фон краски</t>
  </si>
  <si>
    <t>OZN1506319590</t>
  </si>
  <si>
    <t>sonic_df46_tat_horiz</t>
  </si>
  <si>
    <t>б22</t>
  </si>
  <si>
    <t>1506319590</t>
  </si>
  <si>
    <t>Термонаклейка Человек Паук Лого позади</t>
  </si>
  <si>
    <t>OZN1506318448</t>
  </si>
  <si>
    <t>spider_ad12_tat_vert</t>
  </si>
  <si>
    <t>б5</t>
  </si>
  <si>
    <t>1506318448</t>
  </si>
  <si>
    <t>Термонаклейка Человек Паук Лого круг</t>
  </si>
  <si>
    <t>OZN1506319072</t>
  </si>
  <si>
    <t>spider_as14_tat_vert</t>
  </si>
  <si>
    <t>б49</t>
  </si>
  <si>
    <t>1506319072</t>
  </si>
  <si>
    <t>Термонаклейка Человек Паук синий желтый круг</t>
  </si>
  <si>
    <t>OZN1506319067</t>
  </si>
  <si>
    <t>spider_cg34_tat_vert</t>
  </si>
  <si>
    <t>б26</t>
  </si>
  <si>
    <t>1506319067</t>
  </si>
  <si>
    <t>Термонаклейка Человек Паук синий белый круг</t>
  </si>
  <si>
    <t>OZN1506318681</t>
  </si>
  <si>
    <t>spider_df12_tat_vert</t>
  </si>
  <si>
    <t>б18</t>
  </si>
  <si>
    <t>1506318681</t>
  </si>
  <si>
    <t>Термонаклейка Человек Паук круг надпись снизу</t>
  </si>
  <si>
    <t>OZN1506372679</t>
  </si>
  <si>
    <t>spider_df45_tat_vert</t>
  </si>
  <si>
    <t>б25</t>
  </si>
  <si>
    <t>1506372679</t>
  </si>
  <si>
    <t>Термонаклейка Человек Паук круг красный синий</t>
  </si>
  <si>
    <t>OZN1506319420</t>
  </si>
  <si>
    <t>spider_fg56_tat_vert</t>
  </si>
  <si>
    <t>б38</t>
  </si>
  <si>
    <t>1506319420</t>
  </si>
  <si>
    <t>Термонаклейка Спанч Боб и друзья</t>
  </si>
  <si>
    <t>OZN1506319347</t>
  </si>
  <si>
    <t>spunch bob_ab11_tat_vert</t>
  </si>
  <si>
    <t>б11</t>
  </si>
  <si>
    <t>1506319347</t>
  </si>
  <si>
    <t>Термонаклейка Спанч Боб и друзья Keep Vibes</t>
  </si>
  <si>
    <t>OZN1506319594</t>
  </si>
  <si>
    <t>spunch bob_as12_tat_vert</t>
  </si>
  <si>
    <t>б24</t>
  </si>
  <si>
    <t>1506319594</t>
  </si>
  <si>
    <t>Термонаклейка Лило и Стич сидят</t>
  </si>
  <si>
    <t>OZN1506319334</t>
  </si>
  <si>
    <t>stich_as11_tat_horiz</t>
  </si>
  <si>
    <t>б9</t>
  </si>
  <si>
    <t>1506319334</t>
  </si>
  <si>
    <t>Термонаклейка Единороги голубой и розовый</t>
  </si>
  <si>
    <t>OZN1506319397</t>
  </si>
  <si>
    <t>unicorn_af41_tat_horiz</t>
  </si>
  <si>
    <t>б2</t>
  </si>
  <si>
    <t>1506319397</t>
  </si>
  <si>
    <t>Термонаклейка Единорог с ромашкой сердечки</t>
  </si>
  <si>
    <t>OZN1506319032</t>
  </si>
  <si>
    <t>unicorn_er43_tat_vert</t>
  </si>
  <si>
    <t>б1</t>
  </si>
  <si>
    <t>1506319032</t>
  </si>
  <si>
    <t>Термонаклейка Три Миньона бегут</t>
  </si>
  <si>
    <t>OZN1506318642</t>
  </si>
  <si>
    <t>minions_ab12_tat_horiz</t>
  </si>
  <si>
    <t>б34</t>
  </si>
  <si>
    <t>1506318642</t>
  </si>
  <si>
    <t>Термонаклейка Котенок с шариком сердечко</t>
  </si>
  <si>
    <t>OZN1506319215</t>
  </si>
  <si>
    <t>cat_ag1_tat_horiz</t>
  </si>
  <si>
    <t>б15</t>
  </si>
  <si>
    <t>1506319215</t>
  </si>
  <si>
    <t>Термонаклейка Миньон с бананами</t>
  </si>
  <si>
    <t>OZN1506319088</t>
  </si>
  <si>
    <t>minions_sd12_tat_horiz</t>
  </si>
  <si>
    <t>б13</t>
  </si>
  <si>
    <t>1506319088</t>
  </si>
  <si>
    <t>Термонаклейка Зайка балерина</t>
  </si>
  <si>
    <t>OZN1506318852</t>
  </si>
  <si>
    <t>rabbit_ds34_tat_horiz</t>
  </si>
  <si>
    <t>б3</t>
  </si>
  <si>
    <t>1506318852</t>
  </si>
  <si>
    <t>Термонаклейка Динозавр в очках играет на гитаре</t>
  </si>
  <si>
    <t>OZN1506319597</t>
  </si>
  <si>
    <t>dino_as22_tat_vert</t>
  </si>
  <si>
    <t>б55</t>
  </si>
  <si>
    <t>1506319597</t>
  </si>
  <si>
    <t>Термонаклейка Единорог ресницы цветы уши</t>
  </si>
  <si>
    <t>OZN1506318496</t>
  </si>
  <si>
    <t>unicorn_ad12_tat_vert</t>
  </si>
  <si>
    <t>б50</t>
  </si>
  <si>
    <t>1506318496</t>
  </si>
  <si>
    <t>Термонаклейка Лисенок с кружкой</t>
  </si>
  <si>
    <t>OZN1506319495</t>
  </si>
  <si>
    <t>fox_as22_tat_vert</t>
  </si>
  <si>
    <t>б14</t>
  </si>
  <si>
    <t>1506319495</t>
  </si>
  <si>
    <t>Термонаклейка Микки Маус показывает язык</t>
  </si>
  <si>
    <t>OZN1506319200</t>
  </si>
  <si>
    <t>mickey_df11_tat_vert</t>
  </si>
  <si>
    <t>б52</t>
  </si>
  <si>
    <t>1506319200</t>
  </si>
  <si>
    <t>Термонаклейка Мишка красная гоночная машина</t>
  </si>
  <si>
    <t>OZN1532936207</t>
  </si>
  <si>
    <t>72_horiz</t>
  </si>
  <si>
    <t>б40</t>
  </si>
  <si>
    <t>1532936207</t>
  </si>
  <si>
    <t>Термонаклейка Мишка стоит с скейтом</t>
  </si>
  <si>
    <t>OZN1532936693</t>
  </si>
  <si>
    <t>73_vert</t>
  </si>
  <si>
    <t>б92</t>
  </si>
  <si>
    <t>1532936693</t>
  </si>
  <si>
    <t>Термонаклейка Мишка Серфинг Волна Лето</t>
  </si>
  <si>
    <t>OZN1532937395</t>
  </si>
  <si>
    <t>74_vert</t>
  </si>
  <si>
    <t>1532937395</t>
  </si>
  <si>
    <t>Термонаклейка Мишка сидит в очках Alone</t>
  </si>
  <si>
    <t>OZN1532938049</t>
  </si>
  <si>
    <t>75_vert</t>
  </si>
  <si>
    <t>б91</t>
  </si>
  <si>
    <t>1532938049</t>
  </si>
  <si>
    <t>Термонаклейка Мишка на Самокате</t>
  </si>
  <si>
    <t>OZN1532936541</t>
  </si>
  <si>
    <t>77_vert</t>
  </si>
  <si>
    <t>б90</t>
  </si>
  <si>
    <t>1532936541</t>
  </si>
  <si>
    <t>Термонаклейка Мишка Терминатор</t>
  </si>
  <si>
    <t>OZN1532937026</t>
  </si>
  <si>
    <t>79_vert</t>
  </si>
  <si>
    <t>б89</t>
  </si>
  <si>
    <t>1532937026</t>
  </si>
  <si>
    <t>Термонаклейка Мишка гидроцикл волна лето</t>
  </si>
  <si>
    <t>OZN1532960466</t>
  </si>
  <si>
    <t>80_horiz</t>
  </si>
  <si>
    <t>б88</t>
  </si>
  <si>
    <t>1532960466</t>
  </si>
  <si>
    <t>Термонаклейка Мишка репер читает с микрофоном</t>
  </si>
  <si>
    <t>OZN1532937063</t>
  </si>
  <si>
    <t>81_vert</t>
  </si>
  <si>
    <t>б87</t>
  </si>
  <si>
    <t>1532937063</t>
  </si>
  <si>
    <t>Термонаклейка Мишка Серфинг с парусом волна</t>
  </si>
  <si>
    <t>OZN1532936901</t>
  </si>
  <si>
    <t>82_vert</t>
  </si>
  <si>
    <t>б86</t>
  </si>
  <si>
    <t>1532936901</t>
  </si>
  <si>
    <t>Термонаклейка Мишка маска плавание лето селфи</t>
  </si>
  <si>
    <t>OZN1533013698</t>
  </si>
  <si>
    <t>84_vert</t>
  </si>
  <si>
    <t>б85</t>
  </si>
  <si>
    <t>1533013698</t>
  </si>
  <si>
    <t>Термонаклейка Мишка на лыжах</t>
  </si>
  <si>
    <t>OZN1532967942</t>
  </si>
  <si>
    <t>87_vert</t>
  </si>
  <si>
    <t>б84</t>
  </si>
  <si>
    <t>1532967942</t>
  </si>
  <si>
    <t>Термонаклейка Мишка байкер мотоцикл</t>
  </si>
  <si>
    <t>OZN1532936617</t>
  </si>
  <si>
    <t>88_horiz</t>
  </si>
  <si>
    <t>б51</t>
  </si>
  <si>
    <t>1532936617</t>
  </si>
  <si>
    <t>Термонаклейка Мишка велосипед</t>
  </si>
  <si>
    <t>OZN1532936652</t>
  </si>
  <si>
    <t>89_vert</t>
  </si>
  <si>
    <t>б83</t>
  </si>
  <si>
    <t>1532936652</t>
  </si>
  <si>
    <t>Термонаклейка Мишка Каратэ нога вверх</t>
  </si>
  <si>
    <t>OZN1532937018</t>
  </si>
  <si>
    <t>90_vert</t>
  </si>
  <si>
    <t>б8</t>
  </si>
  <si>
    <t>1532937018</t>
  </si>
  <si>
    <t>Термонаклейка Мишка скейт бежит</t>
  </si>
  <si>
    <t>OZN1532966987</t>
  </si>
  <si>
    <t>92_vert</t>
  </si>
  <si>
    <t>б79</t>
  </si>
  <si>
    <t>1532966987</t>
  </si>
  <si>
    <t>Термонаклейка Мишка скейт Lets move</t>
  </si>
  <si>
    <t>OZN1532936711</t>
  </si>
  <si>
    <t>93_vert</t>
  </si>
  <si>
    <t>б78</t>
  </si>
  <si>
    <t>1532936711</t>
  </si>
  <si>
    <t>Термонаклейка Минни Маус и бабочка</t>
  </si>
  <si>
    <t>OZN1532938464</t>
  </si>
  <si>
    <t>120_vert</t>
  </si>
  <si>
    <t>б57</t>
  </si>
  <si>
    <t>1532938464</t>
  </si>
  <si>
    <t>Термонаклейка Минни Маус поправляет бант</t>
  </si>
  <si>
    <t>OZN1532938234</t>
  </si>
  <si>
    <t>121_vert</t>
  </si>
  <si>
    <t>б42</t>
  </si>
  <si>
    <t>1532938234</t>
  </si>
  <si>
    <t>Термонаклейка Дисней утка Дейзи Сердечко</t>
  </si>
  <si>
    <t>OZN1532937318</t>
  </si>
  <si>
    <t>122_horiz</t>
  </si>
  <si>
    <t>б56</t>
  </si>
  <si>
    <t>6_а5_настройки_60</t>
  </si>
  <si>
    <t>1532937318</t>
  </si>
  <si>
    <t>Термонаклейка Животные с радугой</t>
  </si>
  <si>
    <t>OZN1912188679</t>
  </si>
  <si>
    <t>animals_ass2_vert</t>
  </si>
  <si>
    <t>1912188679</t>
  </si>
  <si>
    <t>Термонаклейка Балерина в сиреневом</t>
  </si>
  <si>
    <t>OZN1912202818</t>
  </si>
  <si>
    <t>balerina_asdasfw1_vert</t>
  </si>
  <si>
    <t>1912202818</t>
  </si>
  <si>
    <t>Термонаклейка Чёрный котенок в цветах</t>
  </si>
  <si>
    <t>OZN1912202516</t>
  </si>
  <si>
    <t>cat_dasdwqe2_vert</t>
  </si>
  <si>
    <t>1912202516</t>
  </si>
  <si>
    <t>Термонаклейка Весёлый енот выглядывает</t>
  </si>
  <si>
    <t>OZN1912202795</t>
  </si>
  <si>
    <t>enot_asdw1_vert</t>
  </si>
  <si>
    <t>1912202795</t>
  </si>
  <si>
    <t>Термонаклейка Фея в ночном лесу</t>
  </si>
  <si>
    <t>OZN1912202800</t>
  </si>
  <si>
    <t>fairy_abca_f_horiz</t>
  </si>
  <si>
    <t>1912202800</t>
  </si>
  <si>
    <t>Термонаклейка Девочка с бабочкой</t>
  </si>
  <si>
    <t>OZN1912202508</t>
  </si>
  <si>
    <t>girl_butterfly_asd_vert</t>
  </si>
  <si>
    <t>1912202508</t>
  </si>
  <si>
    <t>Термонаклейка Девочка в розовом платье</t>
  </si>
  <si>
    <t>OZN1912202099</t>
  </si>
  <si>
    <t>girl_dsda_vert</t>
  </si>
  <si>
    <t>1912202099</t>
  </si>
  <si>
    <t>Термонаклейка Девочка с маком в руках</t>
  </si>
  <si>
    <t>OZN1912202150</t>
  </si>
  <si>
    <t>girl_kids_ffd45_vert</t>
  </si>
  <si>
    <t>1912202150</t>
  </si>
  <si>
    <t>Термонаклейка Девочка Ангел с хвостами</t>
  </si>
  <si>
    <t>OZN1912202033</t>
  </si>
  <si>
    <t>girl_pink_blond_qwds_vert</t>
  </si>
  <si>
    <t>1912202033</t>
  </si>
  <si>
    <t>Термонаклейка Разноцветные сердечки</t>
  </si>
  <si>
    <t>OZN1912201812</t>
  </si>
  <si>
    <t>hearts_sdq_vert</t>
  </si>
  <si>
    <t>1912201812</t>
  </si>
  <si>
    <t>Термонаклейка львенок с милой улыбкой</t>
  </si>
  <si>
    <t>OZN1912202756</t>
  </si>
  <si>
    <t>lion_keds_ffff_vert</t>
  </si>
  <si>
    <t>1912202756</t>
  </si>
  <si>
    <t>Термонаклейка львенок выглядывает игриво</t>
  </si>
  <si>
    <t>OZN1912202814</t>
  </si>
  <si>
    <t>lion_kids_df4_vert</t>
  </si>
  <si>
    <t>1912202814</t>
  </si>
  <si>
    <t>Термонаклейка арбуз с сердцем и надписью</t>
  </si>
  <si>
    <t>OZN1912202725</t>
  </si>
  <si>
    <t>melon_heart_horiz</t>
  </si>
  <si>
    <t>1912202725</t>
  </si>
  <si>
    <t>Термонаклейка Лисёнок с розовыми щёчками</t>
  </si>
  <si>
    <t>OZN1912202107</t>
  </si>
  <si>
    <t>fox_looking_ff4_vert</t>
  </si>
  <si>
    <t>1912202107</t>
  </si>
  <si>
    <t>Термонаклейка Лисёнок в свитере с узорами</t>
  </si>
  <si>
    <t>OZN1912202637</t>
  </si>
  <si>
    <t>fox_stand_1ff4_vert</t>
  </si>
  <si>
    <t>1912202637</t>
  </si>
  <si>
    <t>Термонаклейка Девочка в зелёном с подсолнухом</t>
  </si>
  <si>
    <t>OZN1912202762</t>
  </si>
  <si>
    <t>girl_yellow_flower_23d_vert</t>
  </si>
  <si>
    <t>1912202762</t>
  </si>
  <si>
    <t>Термонаклейка Радужный мишка с улыбкой</t>
  </si>
  <si>
    <t>OZN1912201998</t>
  </si>
  <si>
    <t>happy_bear_ff_vert</t>
  </si>
  <si>
    <t>1912201998</t>
  </si>
  <si>
    <t>Термонаклейка Радужный котенок счастливый</t>
  </si>
  <si>
    <t>OZN1912202740</t>
  </si>
  <si>
    <t>happy_cat_ff_vert</t>
  </si>
  <si>
    <t>1912202740</t>
  </si>
  <si>
    <t>Термонаклейка Улыбающийся лисенок в снегу</t>
  </si>
  <si>
    <t>OZN1912202105</t>
  </si>
  <si>
    <t>happy_fox_ff_vert</t>
  </si>
  <si>
    <t>1912202105</t>
  </si>
  <si>
    <t>Термонаклейка Львенок счастливый</t>
  </si>
  <si>
    <t>OZN1912202625</t>
  </si>
  <si>
    <t>happy_lion_ff_vert</t>
  </si>
  <si>
    <t>1912202625</t>
  </si>
  <si>
    <t>Термонаклейка Тигренок счастливый радужный</t>
  </si>
  <si>
    <t>OZN1912202590</t>
  </si>
  <si>
    <t>happy_tiger_ff_vert</t>
  </si>
  <si>
    <t>1912202590</t>
  </si>
  <si>
    <t>Термонаклейка Ёжики в кружках с сердечками</t>
  </si>
  <si>
    <t>OZN1912201742</t>
  </si>
  <si>
    <t>hedgehoges_two_cups_23sss_horiz</t>
  </si>
  <si>
    <t>1912201742</t>
  </si>
  <si>
    <t>Термонаклейка Оленёнок в шарфе</t>
  </si>
  <si>
    <t>OZN1912202149</t>
  </si>
  <si>
    <t>olen_23dds_vert</t>
  </si>
  <si>
    <t>1912202149</t>
  </si>
  <si>
    <t>Термонаклейка Зевающий зайка в пижаме</t>
  </si>
  <si>
    <t>OZN1912202058</t>
  </si>
  <si>
    <t>rabbit_sleeping_231s_vert</t>
  </si>
  <si>
    <t>1912202058</t>
  </si>
  <si>
    <t>Термонаклейка Дисней утка Дейзи и Минни сидят</t>
  </si>
  <si>
    <t>OZN1532967644</t>
  </si>
  <si>
    <t>123_horiz</t>
  </si>
  <si>
    <t>б47</t>
  </si>
  <si>
    <t>1532967644</t>
  </si>
  <si>
    <t>Термонаклейка Дисней утка Дейзи и Минни мороженое</t>
  </si>
  <si>
    <t>OZN1532936774</t>
  </si>
  <si>
    <t>124_horiz</t>
  </si>
  <si>
    <t>б41</t>
  </si>
  <si>
    <t>1532936774</t>
  </si>
  <si>
    <t>Термонаклейка Дисней утка Дейзи улыбка</t>
  </si>
  <si>
    <t>OZN1532937049</t>
  </si>
  <si>
    <t>125_vert</t>
  </si>
  <si>
    <t>б30</t>
  </si>
  <si>
    <t>1532937049</t>
  </si>
  <si>
    <t>Термонаклейка Дисней утка Дейзи и Минни пис</t>
  </si>
  <si>
    <t>OZN1532937844</t>
  </si>
  <si>
    <t>126_horiz</t>
  </si>
  <si>
    <t>б27</t>
  </si>
  <si>
    <t>1532937844</t>
  </si>
  <si>
    <t>Термонаклейка Дейзи и Минни Маус коктейль</t>
  </si>
  <si>
    <t>OZN1532979233</t>
  </si>
  <si>
    <t>127_horiz</t>
  </si>
  <si>
    <t>б93</t>
  </si>
  <si>
    <t>1532979233</t>
  </si>
  <si>
    <t>Термонаклейка Минни Маус целует Микки</t>
  </si>
  <si>
    <t>OZN1532937525</t>
  </si>
  <si>
    <t>129_vert</t>
  </si>
  <si>
    <t>б31</t>
  </si>
  <si>
    <t>1532937525</t>
  </si>
  <si>
    <t>Термонаклейка Формы термозаплатка</t>
  </si>
  <si>
    <t>OZN1563383294</t>
  </si>
  <si>
    <t>patch_a</t>
  </si>
  <si>
    <t>б80</t>
  </si>
  <si>
    <t>1563383294</t>
  </si>
  <si>
    <t>Термонаклейка Сердечки термозаплатка</t>
  </si>
  <si>
    <t>OZN1563383107</t>
  </si>
  <si>
    <t>patch_hearts_black</t>
  </si>
  <si>
    <t>б46</t>
  </si>
  <si>
    <t>1563383107</t>
  </si>
  <si>
    <t>Термонаклейка Звезды Черные термозаплатка</t>
  </si>
  <si>
    <t>OZN1563383242</t>
  </si>
  <si>
    <t>patch_stars_black</t>
  </si>
  <si>
    <t>б81</t>
  </si>
  <si>
    <t>1563383242</t>
  </si>
  <si>
    <t>Термонаклейка Звезды Белые термозаплатка</t>
  </si>
  <si>
    <t>OZN1563382131</t>
  </si>
  <si>
    <t>patch_stars_white</t>
  </si>
  <si>
    <t>б82</t>
  </si>
  <si>
    <t>1563382131</t>
  </si>
  <si>
    <t>Термонаклейки Nike Найк набор</t>
  </si>
  <si>
    <t>OZN1532938438</t>
  </si>
  <si>
    <t>200_vert</t>
  </si>
  <si>
    <t>у22</t>
  </si>
  <si>
    <t>1532938438</t>
  </si>
  <si>
    <r>
      <rPr>
        <sz val="11"/>
        <color rgb="FF000000"/>
        <rFont val="Calibri"/>
        <family val="2"/>
        <charset val="204"/>
      </rPr>
      <t xml:space="preserve">Термонаклейка </t>
    </r>
    <r>
      <rPr>
        <sz val="10"/>
        <color rgb="FF000000"/>
        <rFont val="Arial"/>
        <family val="2"/>
        <charset val="204"/>
      </rPr>
      <t>набор Щенячий Патруль Paw Patrol</t>
    </r>
  </si>
  <si>
    <t>OZN1750741073</t>
  </si>
  <si>
    <t>paw_patrol_bundle</t>
  </si>
  <si>
    <t>е3</t>
  </si>
  <si>
    <t>1750741073</t>
  </si>
  <si>
    <r>
      <rPr>
        <sz val="11"/>
        <color rgb="FF000000"/>
        <rFont val="Calibri"/>
        <family val="2"/>
        <charset val="204"/>
      </rPr>
      <t xml:space="preserve">Термонаклейка </t>
    </r>
    <r>
      <rPr>
        <sz val="10"/>
        <color rgb="FF000000"/>
        <rFont val="Arial"/>
        <family val="2"/>
        <charset val="204"/>
      </rPr>
      <t>набор Соник Sonic</t>
    </r>
  </si>
  <si>
    <t>OZN1750746301</t>
  </si>
  <si>
    <t>Sonic_bundle</t>
  </si>
  <si>
    <t>е4</t>
  </si>
  <si>
    <t>1750746301</t>
  </si>
  <si>
    <r>
      <rPr>
        <sz val="11"/>
        <color rgb="FF000000"/>
        <rFont val="Calibri"/>
        <family val="2"/>
        <charset val="204"/>
      </rPr>
      <t xml:space="preserve">Термонаклейка </t>
    </r>
    <r>
      <rPr>
        <sz val="10"/>
        <color rgb="FF000000"/>
        <rFont val="Arial"/>
        <family val="2"/>
        <charset val="204"/>
      </rPr>
      <t xml:space="preserve">набор </t>
    </r>
    <r>
      <rPr>
        <sz val="11"/>
        <color rgb="FF000000"/>
        <rFont val="Calibri"/>
        <family val="2"/>
        <charset val="204"/>
      </rPr>
      <t>С</t>
    </r>
    <r>
      <rPr>
        <sz val="10"/>
        <color rgb="FF000000"/>
        <rFont val="Arial"/>
        <family val="2"/>
        <charset val="204"/>
      </rPr>
      <t>импсоны The Simpsons</t>
    </r>
  </si>
  <si>
    <t>OZN1750745563</t>
  </si>
  <si>
    <t>Simpsons_bundle</t>
  </si>
  <si>
    <t>е5</t>
  </si>
  <si>
    <t>1750745563</t>
  </si>
  <si>
    <r>
      <rPr>
        <sz val="11"/>
        <color rgb="FF000000"/>
        <rFont val="Calibri"/>
        <family val="2"/>
        <charset val="204"/>
      </rPr>
      <t xml:space="preserve">Термонаклейка </t>
    </r>
    <r>
      <rPr>
        <sz val="10"/>
        <color rgb="FF000000"/>
        <rFont val="Arial"/>
        <family val="2"/>
        <charset val="204"/>
      </rPr>
      <t xml:space="preserve">набор </t>
    </r>
    <r>
      <rPr>
        <sz val="11"/>
        <color rgb="FF000000"/>
        <rFont val="Calibri"/>
        <family val="2"/>
        <charset val="204"/>
      </rPr>
      <t>Винни Пух</t>
    </r>
  </si>
  <si>
    <t>OZN1750745576</t>
  </si>
  <si>
    <t>Winnie_bundle</t>
  </si>
  <si>
    <t>е6</t>
  </si>
  <si>
    <t>1750745576</t>
  </si>
  <si>
    <r>
      <rPr>
        <sz val="11"/>
        <color rgb="FF000000"/>
        <rFont val="Calibri"/>
        <family val="2"/>
        <charset val="204"/>
      </rPr>
      <t xml:space="preserve">Термонаклейка </t>
    </r>
    <r>
      <rPr>
        <sz val="10"/>
        <color rgb="FF000000"/>
        <rFont val="Arial"/>
        <family val="2"/>
        <charset val="204"/>
      </rPr>
      <t>набор Том и Джерри Tom and Jerry</t>
    </r>
  </si>
  <si>
    <t>OZN1750745566</t>
  </si>
  <si>
    <t>tom_and_jerry_bundle</t>
  </si>
  <si>
    <t>е2</t>
  </si>
  <si>
    <t>1750745566</t>
  </si>
  <si>
    <r>
      <rPr>
        <sz val="11"/>
        <color rgb="FF000000"/>
        <rFont val="Calibri"/>
        <family val="2"/>
        <charset val="204"/>
      </rPr>
      <t xml:space="preserve">Термонаклейка </t>
    </r>
    <r>
      <rPr>
        <sz val="10"/>
        <color rgb="FF000000"/>
        <rFont val="Arial"/>
        <family val="2"/>
        <charset val="204"/>
      </rPr>
      <t>набор Черепашки ниндзя turtles TMNT</t>
    </r>
  </si>
  <si>
    <t>OZN1750746305</t>
  </si>
  <si>
    <t>turtles_bundle</t>
  </si>
  <si>
    <t>е1</t>
  </si>
  <si>
    <t>1750746305</t>
  </si>
  <si>
    <t>Термонаклейка Аниме девочка в цветах и фонарях</t>
  </si>
  <si>
    <t>OZN1849771468</t>
  </si>
  <si>
    <t>anime_bubles_a_vert</t>
  </si>
  <si>
    <t>1849771468</t>
  </si>
  <si>
    <t>Термонаклейка Аниме девочка с мыльными пузырями</t>
  </si>
  <si>
    <t>OZN1849777862</t>
  </si>
  <si>
    <t>anime_bubles_b_vert</t>
  </si>
  <si>
    <t>1849777862</t>
  </si>
  <si>
    <t>Термонаклейка Чёрная кошка с узорами на фоне луны</t>
  </si>
  <si>
    <t>OZN1849777815</t>
  </si>
  <si>
    <t>cat_black_yellow_a_vert</t>
  </si>
  <si>
    <t>1849777815</t>
  </si>
  <si>
    <t>Термонаклейка Девушка-кошка с чёрным котом поцелуй</t>
  </si>
  <si>
    <t>OZN1849777586</t>
  </si>
  <si>
    <t>cat_girl_kiss_a_vert</t>
  </si>
  <si>
    <t>1849777586</t>
  </si>
  <si>
    <t>Термонаклейка Кошка розово-фиолетовая крупный план</t>
  </si>
  <si>
    <t>OZN1849778040</t>
  </si>
  <si>
    <t>cat_pink_head_closeup_vert</t>
  </si>
  <si>
    <t>1849778040</t>
  </si>
  <si>
    <t>Термонаклейка Чёрный кот на закате у моря и цветов</t>
  </si>
  <si>
    <t>OZN1849777829</t>
  </si>
  <si>
    <t>cat_sunset_yellow_poppy_vert</t>
  </si>
  <si>
    <t>1849777829</t>
  </si>
  <si>
    <t>Термонаклейка Ловец снов акварель</t>
  </si>
  <si>
    <t>OZN1849778023</t>
  </si>
  <si>
    <t>feathers_asd_vert</t>
  </si>
  <si>
    <t>1849778023</t>
  </si>
  <si>
    <t>Термонаклейка Девушка с галактической магией</t>
  </si>
  <si>
    <t>OZN1849777551</t>
  </si>
  <si>
    <t>girl_eyes_magic_galaxy_vert</t>
  </si>
  <si>
    <t>1849777551</t>
  </si>
  <si>
    <t>Термонаклейка Девушка в цветах и золотом круге</t>
  </si>
  <si>
    <t>OZN1849778110</t>
  </si>
  <si>
    <t>girl_flowers_sleeping_vert</t>
  </si>
  <si>
    <t>1849778110</t>
  </si>
  <si>
    <t>Термонаклейка Королева с бокалом игральная карта</t>
  </si>
  <si>
    <t>OZN1849777833</t>
  </si>
  <si>
    <t>girl_wine_queen_pocker_vert</t>
  </si>
  <si>
    <t>1849777833</t>
  </si>
  <si>
    <t>Термонаклейка Лошадь в космических красках</t>
  </si>
  <si>
    <t>OZN1849777600</t>
  </si>
  <si>
    <t>horse_space_vert</t>
  </si>
  <si>
    <t>1849777600</t>
  </si>
  <si>
    <t>Термонаклейка Лошадь в золотых и мраморных тонах</t>
  </si>
  <si>
    <t>OZN1849778151</t>
  </si>
  <si>
    <t>horse_white_gold_a_vert</t>
  </si>
  <si>
    <t>1849778151</t>
  </si>
  <si>
    <t>Термонаклейка Пара леопардов в ночной листве</t>
  </si>
  <si>
    <t>OZN1849777906</t>
  </si>
  <si>
    <t>leopards_white_black_vert</t>
  </si>
  <si>
    <t>1849777906</t>
  </si>
  <si>
    <t>Термонаклейка Золотой лев в изысканном узоре</t>
  </si>
  <si>
    <t>OZN1849777651</t>
  </si>
  <si>
    <t>lion_gold_vert</t>
  </si>
  <si>
    <t>1849777651</t>
  </si>
  <si>
    <t>Термонаклейка Синий лев с золотыми акцентами</t>
  </si>
  <si>
    <t>OZN1849777581</t>
  </si>
  <si>
    <t>lion_vert</t>
  </si>
  <si>
    <t>1849777581</t>
  </si>
  <si>
    <t>Термонаклейка Сова в цветах</t>
  </si>
  <si>
    <t>OZN1849777716</t>
  </si>
  <si>
    <t>owl_vert</t>
  </si>
  <si>
    <t>1849777716</t>
  </si>
  <si>
    <t>Термонаклейка Карточная королева кричит</t>
  </si>
  <si>
    <t>OZN1849777940</t>
  </si>
  <si>
    <t>queen_pocker_vert</t>
  </si>
  <si>
    <t>1849777940</t>
  </si>
  <si>
    <t>Термонаклейка Тигр с букетом жёлтых тюльпанов</t>
  </si>
  <si>
    <t>OZN1849777893</t>
  </si>
  <si>
    <t>tiger_flowers_happy_vert</t>
  </si>
  <si>
    <t>1849777893</t>
  </si>
  <si>
    <t>Термонаклейка Тигр в витражном стиле</t>
  </si>
  <si>
    <t>OZN1849777720</t>
  </si>
  <si>
    <t>tiger_glass_design_vert</t>
  </si>
  <si>
    <t>1849777720</t>
  </si>
  <si>
    <t>Термонаклейка Тигр спит среди тропических цветов</t>
  </si>
  <si>
    <t>OZN1849778044</t>
  </si>
  <si>
    <t>tiger_sleeping_vert</t>
  </si>
  <si>
    <t>1849778044</t>
  </si>
  <si>
    <t>Термонаклейка Кит в голубых и розовых оттенках</t>
  </si>
  <si>
    <t>OZN1849777981</t>
  </si>
  <si>
    <t>whale_a321_vert</t>
  </si>
  <si>
    <t>1849777981</t>
  </si>
  <si>
    <t>Термонаклейка Кит в золотом дизайне космос</t>
  </si>
  <si>
    <t>OZN1849777647</t>
  </si>
  <si>
    <t>whale_gold_vert</t>
  </si>
  <si>
    <t>1849777647</t>
  </si>
  <si>
    <t>Термонаклейка Маленький принц на синем ките</t>
  </si>
  <si>
    <t>OZN1849777791</t>
  </si>
  <si>
    <t>whale_with_little_prince_vert</t>
  </si>
  <si>
    <t>1849777791</t>
  </si>
  <si>
    <t>Термонаклейка Белый волк с цветами и узорами</t>
  </si>
  <si>
    <t>OZN1849777656</t>
  </si>
  <si>
    <t>wolf_girl_vert</t>
  </si>
  <si>
    <t>1849777656</t>
  </si>
  <si>
    <t>Термонаклейка Чёрный волк красный луна</t>
  </si>
  <si>
    <t>OZN1849777650</t>
  </si>
  <si>
    <t>wolf_red_sun_vert</t>
  </si>
  <si>
    <t>1849777650</t>
  </si>
  <si>
    <t>Термонаклейка Цветы Магнолия белые Botanical</t>
  </si>
  <si>
    <t>OZN1625046334</t>
  </si>
  <si>
    <t>202_vert</t>
  </si>
  <si>
    <t>у20</t>
  </si>
  <si>
    <t>1625046334</t>
  </si>
  <si>
    <r>
      <rPr>
        <sz val="11"/>
        <color rgb="FF000000"/>
        <rFont val="Calibri"/>
        <family val="2"/>
        <charset val="204"/>
      </rPr>
      <t>Термонаклейка Цветы И</t>
    </r>
    <r>
      <rPr>
        <sz val="10"/>
        <color rgb="FF000000"/>
        <rFont val="Arial"/>
        <family val="2"/>
        <charset val="204"/>
      </rPr>
      <t>рисы акварелью Синий</t>
    </r>
  </si>
  <si>
    <t>OZN1625046309</t>
  </si>
  <si>
    <t>204_vert</t>
  </si>
  <si>
    <t>у4</t>
  </si>
  <si>
    <t>1625046309</t>
  </si>
  <si>
    <t>Термонаклейка Цветы Мак фиолетовый</t>
  </si>
  <si>
    <t>OZN1625046227</t>
  </si>
  <si>
    <t>205_vert</t>
  </si>
  <si>
    <t>у14</t>
  </si>
  <si>
    <t>1625046227</t>
  </si>
  <si>
    <t>Термонаклейка Цветы Магнолия 3шт розовые</t>
  </si>
  <si>
    <t>OZN1625046247</t>
  </si>
  <si>
    <t>206_horiz</t>
  </si>
  <si>
    <t>у8</t>
  </si>
  <si>
    <t>1625046247</t>
  </si>
  <si>
    <t>Термонаклейка Цветы Колибри 2шт</t>
  </si>
  <si>
    <t>OZN1625046276</t>
  </si>
  <si>
    <t>208_vert</t>
  </si>
  <si>
    <t>у6</t>
  </si>
  <si>
    <t>1625046276</t>
  </si>
  <si>
    <t>Термонаклейка Аист оранжевый круг</t>
  </si>
  <si>
    <t>OZN1625046385</t>
  </si>
  <si>
    <t>209_vert</t>
  </si>
  <si>
    <t>у5</t>
  </si>
  <si>
    <t>1625046385</t>
  </si>
  <si>
    <t>Термонаклейка Фламинго крупный план</t>
  </si>
  <si>
    <t>OZN1625046271</t>
  </si>
  <si>
    <t>211_vert</t>
  </si>
  <si>
    <t>т16</t>
  </si>
  <si>
    <t>1625046271</t>
  </si>
  <si>
    <t>Термонаклейка Цветы Пионы розовый Peonies</t>
  </si>
  <si>
    <t>OZN1625431121</t>
  </si>
  <si>
    <t>203_vert</t>
  </si>
  <si>
    <t>у17</t>
  </si>
  <si>
    <t>1625431121</t>
  </si>
  <si>
    <t>Термонаклейка Цветы Тюльпаны 3шт розовые</t>
  </si>
  <si>
    <t>OZN1625431048</t>
  </si>
  <si>
    <t>207_vert</t>
  </si>
  <si>
    <t>у19</t>
  </si>
  <si>
    <t>1625431048</t>
  </si>
  <si>
    <t>Термонаклейка Цветы Тюльпаны 5шт белые</t>
  </si>
  <si>
    <t>OZN1625431183</t>
  </si>
  <si>
    <t>210_vert</t>
  </si>
  <si>
    <t>у3</t>
  </si>
  <si>
    <t>1625431183</t>
  </si>
  <si>
    <t>Термонаклейка Девушка с колибри роза кольцо</t>
  </si>
  <si>
    <t>OZN1626838871</t>
  </si>
  <si>
    <t>212_vert</t>
  </si>
  <si>
    <t>у25</t>
  </si>
  <si>
    <t>1626838871</t>
  </si>
  <si>
    <t>Термонаклейка Чайка силует море внутри</t>
  </si>
  <si>
    <t>OZN1626838955</t>
  </si>
  <si>
    <t>213_vert</t>
  </si>
  <si>
    <t>у31</t>
  </si>
  <si>
    <t>1626838955</t>
  </si>
  <si>
    <t>Термонаклейка Матрешка с хлебом</t>
  </si>
  <si>
    <t>OZN1626838716</t>
  </si>
  <si>
    <t>214_vert</t>
  </si>
  <si>
    <t>т61</t>
  </si>
  <si>
    <t>1626838716</t>
  </si>
  <si>
    <t>Термонаклейка Попугаи 2шт зеленый и желтый</t>
  </si>
  <si>
    <t>OZN1626838847</t>
  </si>
  <si>
    <t>215_vert</t>
  </si>
  <si>
    <t>т5</t>
  </si>
  <si>
    <t>1626838847</t>
  </si>
  <si>
    <t>Термонаклейка Матрешка Moscow</t>
  </si>
  <si>
    <t>OZN1626838664</t>
  </si>
  <si>
    <t>216_vert</t>
  </si>
  <si>
    <t>т7</t>
  </si>
  <si>
    <t>1626838664</t>
  </si>
  <si>
    <t>Термонаклейка Девушка с фламинго</t>
  </si>
  <si>
    <t>OZN1626838872</t>
  </si>
  <si>
    <t>217_vert</t>
  </si>
  <si>
    <t>т18</t>
  </si>
  <si>
    <t>1626838872</t>
  </si>
  <si>
    <t>Термонаклейка Цветы Пионы красные Pionies</t>
  </si>
  <si>
    <t>OZN1626838878</t>
  </si>
  <si>
    <t>218_vert</t>
  </si>
  <si>
    <t>у16</t>
  </si>
  <si>
    <t>1626838878</t>
  </si>
  <si>
    <t>Термонаклейка Цветы Магнолия фиолетовая Garden</t>
  </si>
  <si>
    <t>OZN1626838489</t>
  </si>
  <si>
    <t>219_vert</t>
  </si>
  <si>
    <t>у23</t>
  </si>
  <si>
    <t>1626838489</t>
  </si>
  <si>
    <t>Термонаклейка Цветы Розовые Spring Blossoms</t>
  </si>
  <si>
    <t>OZN1626838767</t>
  </si>
  <si>
    <t>220_vert</t>
  </si>
  <si>
    <t>у24</t>
  </si>
  <si>
    <t>1626838767</t>
  </si>
  <si>
    <t>Термонаклейка Бабочки 4шт небо внутри</t>
  </si>
  <si>
    <t>OZN1626838712</t>
  </si>
  <si>
    <t>221_vert</t>
  </si>
  <si>
    <t>у38</t>
  </si>
  <si>
    <t>1626838712</t>
  </si>
  <si>
    <t>Термонаклейка Пантера силует внутри цветы</t>
  </si>
  <si>
    <t>OZN1626838959</t>
  </si>
  <si>
    <t>222_vert</t>
  </si>
  <si>
    <t>у27</t>
  </si>
  <si>
    <t>1626838959</t>
  </si>
  <si>
    <t>Термонаклейка Бабочка синяя Blue butterfly</t>
  </si>
  <si>
    <t>OZN1738041026</t>
  </si>
  <si>
    <t>blue_butterfly</t>
  </si>
  <si>
    <t>т25</t>
  </si>
  <si>
    <t>1738041026</t>
  </si>
  <si>
    <t>Термонаклейка Бабочка зеленная листья</t>
  </si>
  <si>
    <t>OZN1738652399</t>
  </si>
  <si>
    <t>butterfly_green_leaves_vert_1</t>
  </si>
  <si>
    <t>т30</t>
  </si>
  <si>
    <t>1738652399</t>
  </si>
  <si>
    <t>Термонаклейка Мотылек Луна</t>
  </si>
  <si>
    <t>OZN1738651917</t>
  </si>
  <si>
    <t>butterfly_moon_gold1_vert_1</t>
  </si>
  <si>
    <t>т38</t>
  </si>
  <si>
    <t>1738651917</t>
  </si>
  <si>
    <t>Термонаклейка Черный Кот в цветах</t>
  </si>
  <si>
    <t>OZN1738652561</t>
  </si>
  <si>
    <t>cat_head_d1_vert</t>
  </si>
  <si>
    <t>т27</t>
  </si>
  <si>
    <t>1738652561</t>
  </si>
  <si>
    <t>Термонаклейка Кот Сфинкс Звезды Молния</t>
  </si>
  <si>
    <t>OZN1725971725</t>
  </si>
  <si>
    <t>cat_stars_david_bow_vert_1</t>
  </si>
  <si>
    <t>т33</t>
  </si>
  <si>
    <t>1725971725</t>
  </si>
  <si>
    <t>Термонаклейка Кот цветы внутри</t>
  </si>
  <si>
    <t>OZN1738652819</t>
  </si>
  <si>
    <t>cat_vert_1</t>
  </si>
  <si>
    <t>т26</t>
  </si>
  <si>
    <t>1738652819</t>
  </si>
  <si>
    <t>Термонаклейка Белый Кот в цветах</t>
  </si>
  <si>
    <t>OZN1738652966</t>
  </si>
  <si>
    <t>cat1_f1_versB_vert</t>
  </si>
  <si>
    <t>т39</t>
  </si>
  <si>
    <t>1738652966</t>
  </si>
  <si>
    <t>Термонаклейка Лотос розовый золотистый</t>
  </si>
  <si>
    <t>OZN1738651921</t>
  </si>
  <si>
    <t>flower_pink1_horiz</t>
  </si>
  <si>
    <t>т19</t>
  </si>
  <si>
    <t>1738651921</t>
  </si>
  <si>
    <t>Термонаклейка Цветы Синий Акварель</t>
  </si>
  <si>
    <t>OZN1738651684</t>
  </si>
  <si>
    <t>flowers_abc1_vert</t>
  </si>
  <si>
    <t>т23</t>
  </si>
  <si>
    <t>1738651684</t>
  </si>
  <si>
    <r>
      <rPr>
        <sz val="11"/>
        <color rgb="FF000000"/>
        <rFont val="Calibri"/>
        <family val="2"/>
        <charset val="204"/>
      </rPr>
      <t>Термонаклейка О</t>
    </r>
    <r>
      <rPr>
        <sz val="10"/>
        <color rgb="FF000000"/>
        <rFont val="Arial"/>
        <family val="2"/>
        <charset val="204"/>
      </rPr>
      <t>рхидея</t>
    </r>
    <r>
      <rPr>
        <sz val="11"/>
        <color rgb="FF000000"/>
        <rFont val="Calibri"/>
        <family val="2"/>
        <charset val="204"/>
      </rPr>
      <t xml:space="preserve"> Цветы Розовые</t>
    </r>
  </si>
  <si>
    <t>OZN1738652745</t>
  </si>
  <si>
    <t>flowers_pinks12_vert</t>
  </si>
  <si>
    <t>т41</t>
  </si>
  <si>
    <t>1738652745</t>
  </si>
  <si>
    <t>Термонаклейка Девочка и Лиса</t>
  </si>
  <si>
    <t>OZN1738653148</t>
  </si>
  <si>
    <t>girl_and_fox1_vert</t>
  </si>
  <si>
    <t>т22</t>
  </si>
  <si>
    <t>1738653148</t>
  </si>
  <si>
    <t>Термонаклейка Девушка Венок Луна Акварель</t>
  </si>
  <si>
    <t>OZN1738652147</t>
  </si>
  <si>
    <t>girl_flowers_planet_venok_vert_1</t>
  </si>
  <si>
    <t>т24</t>
  </si>
  <si>
    <t>1738652147</t>
  </si>
  <si>
    <t>Термонаклейка Девушка Волосы Бабочки</t>
  </si>
  <si>
    <t>OZN1738651416</t>
  </si>
  <si>
    <t>girl_head_butterflys_de1_vert</t>
  </si>
  <si>
    <t>т35</t>
  </si>
  <si>
    <t>1738651416</t>
  </si>
  <si>
    <t>Термонаклейка Девушка Природа Силует</t>
  </si>
  <si>
    <t>OZN1738652486</t>
  </si>
  <si>
    <t>girl_head_forest_green_vert1</t>
  </si>
  <si>
    <t>т43</t>
  </si>
  <si>
    <t>1738652486</t>
  </si>
  <si>
    <t>Термонаклейка Девушка Маска Доберман Собака</t>
  </si>
  <si>
    <t>OZN1738652902</t>
  </si>
  <si>
    <t>girl_headwolf_ad_vert</t>
  </si>
  <si>
    <t>т29</t>
  </si>
  <si>
    <t>1738652902</t>
  </si>
  <si>
    <t>Термонаклейка Девушка Аниме Япония Красное Солнце</t>
  </si>
  <si>
    <t>OZN1738651525</t>
  </si>
  <si>
    <t>girl_redsun_japan1_vert</t>
  </si>
  <si>
    <t>т44</t>
  </si>
  <si>
    <t>1738651525</t>
  </si>
  <si>
    <t>Термонаклейка Девушка Силует Закат</t>
  </si>
  <si>
    <t>OZN1738651975</t>
  </si>
  <si>
    <t>girl_sunset_vert_1</t>
  </si>
  <si>
    <t>т36</t>
  </si>
  <si>
    <t>1738651975</t>
  </si>
  <si>
    <t>Термонаклейка Девушка Силует Акварель Лес</t>
  </si>
  <si>
    <t>OZN1738652367</t>
  </si>
  <si>
    <t>girl_whiteblack_forest_vert_1</t>
  </si>
  <si>
    <t>т31</t>
  </si>
  <si>
    <t>1738652367</t>
  </si>
  <si>
    <t>Термонаклейка Сердце Букет Цветы</t>
  </si>
  <si>
    <t>OZN1738652490</t>
  </si>
  <si>
    <t>heart_flowers_horiz</t>
  </si>
  <si>
    <t>т32</t>
  </si>
  <si>
    <t>1738652490</t>
  </si>
  <si>
    <t>Термонаклейка Сердце Море Силует</t>
  </si>
  <si>
    <t>OZN1738651926</t>
  </si>
  <si>
    <t>heart_ocean1_horiz</t>
  </si>
  <si>
    <t>т34</t>
  </si>
  <si>
    <t>1738651926</t>
  </si>
  <si>
    <t>Термонаклейка Белая Лошадь Цветы</t>
  </si>
  <si>
    <t>OZN1738651871</t>
  </si>
  <si>
    <t>horse_white1_vert</t>
  </si>
  <si>
    <t>т40</t>
  </si>
  <si>
    <t>1738651871</t>
  </si>
  <si>
    <r>
      <rPr>
        <sz val="11"/>
        <color rgb="FF000000"/>
        <rFont val="Calibri"/>
        <family val="2"/>
        <charset val="204"/>
      </rPr>
      <t>Термонаклейка М</t>
    </r>
    <r>
      <rPr>
        <sz val="10"/>
        <color rgb="FF000000"/>
        <rFont val="Arial"/>
        <family val="2"/>
        <charset val="204"/>
      </rPr>
      <t xml:space="preserve">орская Ракушка </t>
    </r>
    <r>
      <rPr>
        <sz val="11"/>
        <color rgb="FF000000"/>
        <rFont val="Calibri"/>
        <family val="2"/>
        <charset val="204"/>
      </rPr>
      <t>Силует</t>
    </r>
  </si>
  <si>
    <t>OZN1738652535</t>
  </si>
  <si>
    <t>seashell_a1_vert</t>
  </si>
  <si>
    <t>т20</t>
  </si>
  <si>
    <t>1738652535</t>
  </si>
  <si>
    <r>
      <rPr>
        <sz val="11"/>
        <color rgb="FF000000"/>
        <rFont val="Calibri"/>
        <family val="2"/>
        <charset val="204"/>
      </rPr>
      <t>Термонаклейка П</t>
    </r>
    <r>
      <rPr>
        <sz val="10"/>
        <color rgb="FF000000"/>
        <rFont val="Arial"/>
        <family val="2"/>
        <charset val="204"/>
      </rPr>
      <t>одсолнухи Цветы</t>
    </r>
  </si>
  <si>
    <t>OZN1738651613</t>
  </si>
  <si>
    <t>sunflower_v1_vert</t>
  </si>
  <si>
    <t>т21</t>
  </si>
  <si>
    <t>1738651613</t>
  </si>
  <si>
    <t>Термонаклейка Черепаха Цветы на панцире</t>
  </si>
  <si>
    <t>OZN1738652063</t>
  </si>
  <si>
    <t>turtle_t1_horiz</t>
  </si>
  <si>
    <t>т37</t>
  </si>
  <si>
    <t>1738652063</t>
  </si>
  <si>
    <t>Термонаклейка Девушка и 2 ласточки</t>
  </si>
  <si>
    <t>OZN1738651829</t>
  </si>
  <si>
    <t>two_birds_face_girl_eyes1_vert</t>
  </si>
  <si>
    <t>т28</t>
  </si>
  <si>
    <t>1738651829</t>
  </si>
  <si>
    <t>Термонаклейка Кит в Цветах</t>
  </si>
  <si>
    <t>OZN1738652878</t>
  </si>
  <si>
    <t>whale2_vert1</t>
  </si>
  <si>
    <t>т42</t>
  </si>
  <si>
    <t>1738652878</t>
  </si>
  <si>
    <r>
      <rPr>
        <sz val="11"/>
        <color rgb="FF000000"/>
        <rFont val="Calibri"/>
        <family val="2"/>
        <charset val="204"/>
      </rPr>
      <t xml:space="preserve">Термонаклейка </t>
    </r>
    <r>
      <rPr>
        <sz val="10"/>
        <color rgb="FF000000"/>
        <rFont val="Arial"/>
        <family val="2"/>
        <charset val="204"/>
      </rPr>
      <t xml:space="preserve">Одри Хепбёрн </t>
    </r>
    <r>
      <rPr>
        <sz val="11"/>
        <color rgb="FF000000"/>
        <rFont val="Calibri"/>
        <family val="2"/>
        <charset val="204"/>
      </rPr>
      <t>холст Vogue</t>
    </r>
  </si>
  <si>
    <t>OZN1506332421</t>
  </si>
  <si>
    <t>Audrey Hepburn_gf11_vert</t>
  </si>
  <si>
    <t>у18</t>
  </si>
  <si>
    <t>1506332421</t>
  </si>
  <si>
    <t>Термонаклейка Черный Кот Силует астрономия</t>
  </si>
  <si>
    <t>OZN1506320059</t>
  </si>
  <si>
    <t>cat_df12_tat_vert</t>
  </si>
  <si>
    <t>т12</t>
  </si>
  <si>
    <t>1506320059</t>
  </si>
  <si>
    <t>Термонаклейка Аниме девочка белые волосы уши кошки</t>
  </si>
  <si>
    <t>OZN1506331023</t>
  </si>
  <si>
    <t>girl_anime_gf11_vert</t>
  </si>
  <si>
    <t>т54</t>
  </si>
  <si>
    <t>1506331023</t>
  </si>
  <si>
    <t>Термонаклейка Аниме девочка черные очки язык</t>
  </si>
  <si>
    <t>OZN1506381390</t>
  </si>
  <si>
    <t>girl_explicit_gf11_vert</t>
  </si>
  <si>
    <t>у35</t>
  </si>
  <si>
    <t>1506381390</t>
  </si>
  <si>
    <t>Термонаклейка Девушка гладиолус цветы</t>
  </si>
  <si>
    <t>OZN1506319820</t>
  </si>
  <si>
    <t>girl_flower_af11_vert</t>
  </si>
  <si>
    <t>у11</t>
  </si>
  <si>
    <t>1506319820</t>
  </si>
  <si>
    <t>Термонаклейка Девушка холст растут цветы</t>
  </si>
  <si>
    <t>OZN1506332524</t>
  </si>
  <si>
    <t>girl_flowers_gf11_vert</t>
  </si>
  <si>
    <t>у43</t>
  </si>
  <si>
    <t>1506332524</t>
  </si>
  <si>
    <t>Термонаклейка Девушка на закате держат руки море</t>
  </si>
  <si>
    <t>OZN1506332556</t>
  </si>
  <si>
    <t>girl_hold_hands_gf11_vert</t>
  </si>
  <si>
    <t>т13</t>
  </si>
  <si>
    <t>1506332556</t>
  </si>
  <si>
    <t>Термонаклейка Леопардовое сердце розовое</t>
  </si>
  <si>
    <t>OZN1506320308</t>
  </si>
  <si>
    <t>heart_ab11_tat_horiz</t>
  </si>
  <si>
    <t>у29</t>
  </si>
  <si>
    <t>1506320308</t>
  </si>
  <si>
    <t>Термонаклейка Сердце отпечаток пальца красный</t>
  </si>
  <si>
    <t>OZN1506320223</t>
  </si>
  <si>
    <t>heart_ff11_tat_horiz</t>
  </si>
  <si>
    <t>т69</t>
  </si>
  <si>
    <t>1506320223</t>
  </si>
  <si>
    <t>Термонаклейка Девушка макияж Хэллоуин</t>
  </si>
  <si>
    <t>OZN1506331665</t>
  </si>
  <si>
    <t>hellowing_q12_vert</t>
  </si>
  <si>
    <t>у7</t>
  </si>
  <si>
    <t>1506331665</t>
  </si>
  <si>
    <t>Термонаклейка Девушка силует обнимают природа</t>
  </si>
  <si>
    <t>OZN1506331474</t>
  </si>
  <si>
    <t>lady_back_gf11_vert</t>
  </si>
  <si>
    <t>у30</t>
  </si>
  <si>
    <t>1506331474</t>
  </si>
  <si>
    <t>Термонаклейка Лев Краски Дизайн</t>
  </si>
  <si>
    <t>OZN1506331166</t>
  </si>
  <si>
    <t>lion_dd45_tat_vert</t>
  </si>
  <si>
    <t>т9</t>
  </si>
  <si>
    <t>1506331166</t>
  </si>
  <si>
    <t>Термонаклейка Губы Язык Краски Дизайн</t>
  </si>
  <si>
    <t>OZN1506333119</t>
  </si>
  <si>
    <t>lips_ss11_tat_vert</t>
  </si>
  <si>
    <t>т68</t>
  </si>
  <si>
    <t>1506333119</t>
  </si>
  <si>
    <t>Термонаклейка Мэрилин Монро Поп арт жвачка</t>
  </si>
  <si>
    <t>OZN1506320005</t>
  </si>
  <si>
    <t>marylin_monroe_af11_vert</t>
  </si>
  <si>
    <t>у13</t>
  </si>
  <si>
    <t>1506320005</t>
  </si>
  <si>
    <t>Термонаклейка Сейлор Мун Sailor Moon радуется</t>
  </si>
  <si>
    <t>OZN1506320185</t>
  </si>
  <si>
    <t>sailor_moon_as14_vert</t>
  </si>
  <si>
    <t>т3</t>
  </si>
  <si>
    <t>1506320185</t>
  </si>
  <si>
    <t>Термонаклейка Сейлор Мун Sailor Moon голубой фон</t>
  </si>
  <si>
    <t>OZN1506331468</t>
  </si>
  <si>
    <t>sailor_moon_q12_vert</t>
  </si>
  <si>
    <t>у40</t>
  </si>
  <si>
    <t>1506331468</t>
  </si>
  <si>
    <t>Термонаклейка Тигр Краски Дизайн</t>
  </si>
  <si>
    <t>OZN1506331021</t>
  </si>
  <si>
    <t>tiger_gg11_vert</t>
  </si>
  <si>
    <t>т8</t>
  </si>
  <si>
    <t>1506331021</t>
  </si>
  <si>
    <t>Термонаклейка Морская Черепаха Море силует</t>
  </si>
  <si>
    <t>OZN1506331467</t>
  </si>
  <si>
    <t>turtle_sd12_tat_vert</t>
  </si>
  <si>
    <t>у41</t>
  </si>
  <si>
    <t>1506331467</t>
  </si>
  <si>
    <t>Термонаклейка Мэрилин Монро буквы</t>
  </si>
  <si>
    <t>OZN1522021181</t>
  </si>
  <si>
    <t>1_vert</t>
  </si>
  <si>
    <t>т45</t>
  </si>
  <si>
    <t>1522021181</t>
  </si>
  <si>
    <r>
      <rPr>
        <sz val="11"/>
        <color rgb="FF000000"/>
        <rFont val="Calibri"/>
        <family val="2"/>
        <charset val="204"/>
      </rPr>
      <t xml:space="preserve">Термонаклейка </t>
    </r>
    <r>
      <rPr>
        <sz val="10"/>
        <color rgb="FF000000"/>
        <rFont val="Arial"/>
        <family val="2"/>
        <charset val="204"/>
      </rPr>
      <t xml:space="preserve">Одри Хепбёрн </t>
    </r>
    <r>
      <rPr>
        <sz val="11"/>
        <color rgb="FF000000"/>
        <rFont val="Calibri"/>
        <family val="2"/>
        <charset val="204"/>
      </rPr>
      <t>буквы</t>
    </r>
  </si>
  <si>
    <t>OZN1522019730</t>
  </si>
  <si>
    <t>2_vert</t>
  </si>
  <si>
    <t>т53</t>
  </si>
  <si>
    <t>1522019730</t>
  </si>
  <si>
    <t>Термонаклейка Мэрилин Монро геометрия</t>
  </si>
  <si>
    <t>OZN1522020277</t>
  </si>
  <si>
    <t>3_vert</t>
  </si>
  <si>
    <t>т67</t>
  </si>
  <si>
    <t>1522020277</t>
  </si>
  <si>
    <t>Термонаклейка Цветы Желтый Мак</t>
  </si>
  <si>
    <t>OZN1522020719</t>
  </si>
  <si>
    <t>4_vert</t>
  </si>
  <si>
    <t>у10</t>
  </si>
  <si>
    <t>1522020719</t>
  </si>
  <si>
    <t>Термонаклейка Цветы Розовые Лилии</t>
  </si>
  <si>
    <t>OZN1522019667</t>
  </si>
  <si>
    <t>5_vert</t>
  </si>
  <si>
    <t>т56</t>
  </si>
  <si>
    <t>1522019667</t>
  </si>
  <si>
    <r>
      <rPr>
        <sz val="11"/>
        <color rgb="FF000000"/>
        <rFont val="Calibri"/>
        <family val="2"/>
        <charset val="204"/>
      </rPr>
      <t>Термонаклейка И</t>
    </r>
    <r>
      <rPr>
        <sz val="10"/>
        <color rgb="FF000000"/>
        <rFont val="Arial"/>
        <family val="2"/>
        <charset val="204"/>
      </rPr>
      <t>нь Янь Кошки</t>
    </r>
  </si>
  <si>
    <t>OZN1522022092</t>
  </si>
  <si>
    <t>6_vert</t>
  </si>
  <si>
    <t>т51</t>
  </si>
  <si>
    <t>1522022092</t>
  </si>
  <si>
    <t>Термонаклейка Лес Гитара Закат</t>
  </si>
  <si>
    <t>OZN1522021193</t>
  </si>
  <si>
    <t>7_horiz</t>
  </si>
  <si>
    <t>у44</t>
  </si>
  <si>
    <t>1522021193</t>
  </si>
  <si>
    <t>Термонаклейка Девушка лицо крылья</t>
  </si>
  <si>
    <t>OZN1522019906</t>
  </si>
  <si>
    <t>8_vert</t>
  </si>
  <si>
    <t>у45</t>
  </si>
  <si>
    <t>1522019906</t>
  </si>
  <si>
    <t>Термонаклейка Мэрилин Монро фото буквы</t>
  </si>
  <si>
    <t>OZN1522021003</t>
  </si>
  <si>
    <t>9_vert</t>
  </si>
  <si>
    <t>т70</t>
  </si>
  <si>
    <t>1522021003</t>
  </si>
  <si>
    <r>
      <rPr>
        <sz val="11"/>
        <color rgb="FF000000"/>
        <rFont val="Calibri"/>
        <family val="2"/>
        <charset val="204"/>
      </rPr>
      <t>Термонаклейка Девушка месяц В</t>
    </r>
    <r>
      <rPr>
        <sz val="10"/>
        <color rgb="FF000000"/>
        <rFont val="Arial"/>
        <family val="2"/>
        <charset val="204"/>
      </rPr>
      <t>ан Гог</t>
    </r>
  </si>
  <si>
    <t>OZN1522020629</t>
  </si>
  <si>
    <t>10_vert</t>
  </si>
  <si>
    <t>т58</t>
  </si>
  <si>
    <t>1522020629</t>
  </si>
  <si>
    <r>
      <rPr>
        <sz val="11"/>
        <color rgb="FF000000"/>
        <rFont val="Calibri"/>
        <family val="2"/>
        <charset val="204"/>
      </rPr>
      <t xml:space="preserve">Термонаклейка Цветы Розовые </t>
    </r>
    <r>
      <rPr>
        <sz val="10"/>
        <color rgb="FF000000"/>
        <rFont val="Arial"/>
        <family val="2"/>
        <charset val="204"/>
      </rPr>
      <t>Ирис</t>
    </r>
  </si>
  <si>
    <t>OZN1522019774</t>
  </si>
  <si>
    <t>11_vert</t>
  </si>
  <si>
    <t>т66</t>
  </si>
  <si>
    <t>1522019774</t>
  </si>
  <si>
    <t>Термонаклейка Сердце леопардовое</t>
  </si>
  <si>
    <t>OZN1522020059</t>
  </si>
  <si>
    <t>13_vert</t>
  </si>
  <si>
    <t>т62</t>
  </si>
  <si>
    <t>1522020059</t>
  </si>
  <si>
    <t>Термонаклейка Сердце разынй окрас</t>
  </si>
  <si>
    <t>OZN1522019498</t>
  </si>
  <si>
    <t>14_vert</t>
  </si>
  <si>
    <t>т14</t>
  </si>
  <si>
    <t>1522019498</t>
  </si>
  <si>
    <t>Термонаклейка Сердце Love is Wild</t>
  </si>
  <si>
    <t>OZN1522019725</t>
  </si>
  <si>
    <t>15_vert</t>
  </si>
  <si>
    <t>у42</t>
  </si>
  <si>
    <t>1522019725</t>
  </si>
  <si>
    <t>Термонаклейка Цветы Месяц Лотос</t>
  </si>
  <si>
    <t>OZN1522020325</t>
  </si>
  <si>
    <t>16_vert</t>
  </si>
  <si>
    <t>т2</t>
  </si>
  <si>
    <t>1522020325</t>
  </si>
  <si>
    <t>Термонаклейка Медуза Горгона черно-белый</t>
  </si>
  <si>
    <t>OZN1522019474</t>
  </si>
  <si>
    <t>17_vert</t>
  </si>
  <si>
    <t>у32</t>
  </si>
  <si>
    <t>1522019474</t>
  </si>
  <si>
    <t>Термонаклейка Бабочка you are free to fly</t>
  </si>
  <si>
    <t>OZN1522019666</t>
  </si>
  <si>
    <t>18_vert</t>
  </si>
  <si>
    <t>т52</t>
  </si>
  <si>
    <t>1522019666</t>
  </si>
  <si>
    <t>Термонаклейка Розовый фламинго цветы</t>
  </si>
  <si>
    <t>OZN1522020599</t>
  </si>
  <si>
    <t>19_vert</t>
  </si>
  <si>
    <t>у47</t>
  </si>
  <si>
    <t>1522020599</t>
  </si>
  <si>
    <t>Термонаклейка Девушка бабочка Ван Гог</t>
  </si>
  <si>
    <t>OZN1522019613</t>
  </si>
  <si>
    <t>20_vert</t>
  </si>
  <si>
    <t>т57</t>
  </si>
  <si>
    <t>1522019613</t>
  </si>
  <si>
    <t>Термонаклейка Котенок розовый закат звезды</t>
  </si>
  <si>
    <t>OZN1522019743</t>
  </si>
  <si>
    <t>21_vert</t>
  </si>
  <si>
    <t>т47</t>
  </si>
  <si>
    <t>1522019743</t>
  </si>
  <si>
    <t>Термонаклейка Кит хвост из волн море океан</t>
  </si>
  <si>
    <t>OZN1522019733</t>
  </si>
  <si>
    <t>22_horiz</t>
  </si>
  <si>
    <t>т60</t>
  </si>
  <si>
    <t>1522019733</t>
  </si>
  <si>
    <t>Термонаклейка Солнце Луна Звезды Астрология</t>
  </si>
  <si>
    <t>OZN1522020909</t>
  </si>
  <si>
    <t>23_vert</t>
  </si>
  <si>
    <t>у48</t>
  </si>
  <si>
    <t>1522020909</t>
  </si>
  <si>
    <t>Термонаклейка Черный Кот Звезды Астрология</t>
  </si>
  <si>
    <t>OZN1522019292</t>
  </si>
  <si>
    <t>24_vert</t>
  </si>
  <si>
    <t>т50</t>
  </si>
  <si>
    <t>1522019292</t>
  </si>
  <si>
    <t>Термонаклейка Подсолнух Ван Гог</t>
  </si>
  <si>
    <t>OZN1522019636</t>
  </si>
  <si>
    <t>28_vert</t>
  </si>
  <si>
    <t>т64</t>
  </si>
  <si>
    <t>1522019636</t>
  </si>
  <si>
    <r>
      <rPr>
        <sz val="11"/>
        <color rgb="FF000000"/>
        <rFont val="Calibri"/>
        <family val="2"/>
        <charset val="204"/>
      </rPr>
      <t xml:space="preserve">Термонаклейка Сердце </t>
    </r>
    <r>
      <rPr>
        <sz val="10"/>
        <color rgb="FF000000"/>
        <rFont val="Arial"/>
        <family val="2"/>
        <charset val="204"/>
      </rPr>
      <t>Большая волна в Канагаве</t>
    </r>
  </si>
  <si>
    <t>OZN1522019647</t>
  </si>
  <si>
    <t>30_vert</t>
  </si>
  <si>
    <t>у28</t>
  </si>
  <si>
    <t>1522019647</t>
  </si>
  <si>
    <t>Термонаклейка Секс в большом городе подруги</t>
  </si>
  <si>
    <t>OZN1522067175</t>
  </si>
  <si>
    <t>31_vert</t>
  </si>
  <si>
    <t>т59</t>
  </si>
  <si>
    <t>1522067175</t>
  </si>
  <si>
    <r>
      <rPr>
        <sz val="11"/>
        <color rgb="FF000000"/>
        <rFont val="Calibri"/>
        <family val="2"/>
        <charset val="204"/>
      </rPr>
      <t>Термонаклейка Д</t>
    </r>
    <r>
      <rPr>
        <sz val="10"/>
        <color rgb="FF000000"/>
        <rFont val="Arial"/>
        <family val="2"/>
        <charset val="204"/>
      </rPr>
      <t>авид статуя цветы</t>
    </r>
  </si>
  <si>
    <t>OZN1522019312</t>
  </si>
  <si>
    <t>32_vert</t>
  </si>
  <si>
    <t>т6</t>
  </si>
  <si>
    <t>1522019312</t>
  </si>
  <si>
    <t>Термонаклейка Мэрилин Монро Медуза Горгона</t>
  </si>
  <si>
    <t>OZN1522019560</t>
  </si>
  <si>
    <t>33_vert</t>
  </si>
  <si>
    <t>у49</t>
  </si>
  <si>
    <t>1522019560</t>
  </si>
  <si>
    <t>Термонаклейка Череп цветы Подсолнух Ван Гог</t>
  </si>
  <si>
    <t>OZN1522021741</t>
  </si>
  <si>
    <t>34_vert</t>
  </si>
  <si>
    <t>т46</t>
  </si>
  <si>
    <t>1522021741</t>
  </si>
  <si>
    <t>Термонаклейка Пантера рычит звезды розовый фон</t>
  </si>
  <si>
    <t>OZN1522019477</t>
  </si>
  <si>
    <t>35_vert</t>
  </si>
  <si>
    <t>т65</t>
  </si>
  <si>
    <t>1522019477</t>
  </si>
  <si>
    <t>Термонаклейка Цветы Пионы надпись</t>
  </si>
  <si>
    <t>OZN1522019568</t>
  </si>
  <si>
    <t>36_vert</t>
  </si>
  <si>
    <t>у1</t>
  </si>
  <si>
    <t>1522019568</t>
  </si>
  <si>
    <t>Термонаклейка Девушка силует туман лес птицы</t>
  </si>
  <si>
    <t>OZN1522019374</t>
  </si>
  <si>
    <t>37_vert</t>
  </si>
  <si>
    <t>у2</t>
  </si>
  <si>
    <t>1522019374</t>
  </si>
  <si>
    <t>Термонаклейка Крылья красочные маслом</t>
  </si>
  <si>
    <t>OZN1522019564</t>
  </si>
  <si>
    <t>39_horiz</t>
  </si>
  <si>
    <t>у34</t>
  </si>
  <si>
    <t>1522019564</t>
  </si>
  <si>
    <t>Термонаклейка Кит прягает из воды закат</t>
  </si>
  <si>
    <t>OZN1522019450</t>
  </si>
  <si>
    <t>40_vert</t>
  </si>
  <si>
    <t>у21</t>
  </si>
  <si>
    <t>1522019450</t>
  </si>
  <si>
    <t>Термонаклейка Кит моряк волны лодка</t>
  </si>
  <si>
    <t>OZN1522019276</t>
  </si>
  <si>
    <t>41_vert</t>
  </si>
  <si>
    <t>у36</t>
  </si>
  <si>
    <t>1522019276</t>
  </si>
  <si>
    <t>Термонаклейка Синяя бабочка буквы</t>
  </si>
  <si>
    <t>OZN1522019550</t>
  </si>
  <si>
    <t>42_horiz</t>
  </si>
  <si>
    <t>у50</t>
  </si>
  <si>
    <t>1522019550</t>
  </si>
  <si>
    <t>Термонаклейка Микки Маус бабочки цверы силует</t>
  </si>
  <si>
    <t>OZN1522020596</t>
  </si>
  <si>
    <t>44_horiz</t>
  </si>
  <si>
    <t>у39</t>
  </si>
  <si>
    <t>1522020596</t>
  </si>
  <si>
    <t>Термонаклейка Тукан цветы</t>
  </si>
  <si>
    <t>OZN1522019577</t>
  </si>
  <si>
    <t>47_vert</t>
  </si>
  <si>
    <t>т10</t>
  </si>
  <si>
    <t>1522019577</t>
  </si>
  <si>
    <t>Термонаклейка Мопс Собачка попа секси</t>
  </si>
  <si>
    <t>OZN1522020897</t>
  </si>
  <si>
    <t>50_vert</t>
  </si>
  <si>
    <t>т71</t>
  </si>
  <si>
    <t>1522020897</t>
  </si>
  <si>
    <t>Термонаклейка Штрихкод I Love You</t>
  </si>
  <si>
    <t>OZN1532939087</t>
  </si>
  <si>
    <t>52_horiz</t>
  </si>
  <si>
    <t>т48</t>
  </si>
  <si>
    <t>1532939087</t>
  </si>
  <si>
    <t xml:space="preserve">Термонаклейка Дисней злодеи Друзья Friends </t>
  </si>
  <si>
    <t>OZN1532940236</t>
  </si>
  <si>
    <t>53_horiz</t>
  </si>
  <si>
    <t>т63</t>
  </si>
  <si>
    <t>Не указано</t>
  </si>
  <si>
    <t>Термонаклейка Леопард пятна сердечки голова</t>
  </si>
  <si>
    <t>OZN1532939681</t>
  </si>
  <si>
    <t>54_vert</t>
  </si>
  <si>
    <t>у33</t>
  </si>
  <si>
    <t>1532939681</t>
  </si>
  <si>
    <t>Термонаклейка Матрешка цветы</t>
  </si>
  <si>
    <t>OZN1532938204</t>
  </si>
  <si>
    <t>55_vert</t>
  </si>
  <si>
    <t>т4</t>
  </si>
  <si>
    <t>1532938204</t>
  </si>
  <si>
    <t>Термонаклейка Леопард пятна сердечки полностью</t>
  </si>
  <si>
    <t>OZN1532938265</t>
  </si>
  <si>
    <t>56_vert</t>
  </si>
  <si>
    <t>т17</t>
  </si>
  <si>
    <t>1532938265</t>
  </si>
  <si>
    <t>Термонаклейка Цветы Синии Амариллис</t>
  </si>
  <si>
    <t>OZN1532937945</t>
  </si>
  <si>
    <t>57_vert</t>
  </si>
  <si>
    <t>у12</t>
  </si>
  <si>
    <t>1532937945</t>
  </si>
  <si>
    <t>Термонаклейка Перья Яркие Wild Spirit</t>
  </si>
  <si>
    <t>OZN1532938186</t>
  </si>
  <si>
    <t>58_horiz</t>
  </si>
  <si>
    <t>у26</t>
  </si>
  <si>
    <t>1532938186</t>
  </si>
  <si>
    <t>Термонаклейка Перья Украшение Ожерелье</t>
  </si>
  <si>
    <t>OZN1532940241</t>
  </si>
  <si>
    <t>59_horiz</t>
  </si>
  <si>
    <t>у15</t>
  </si>
  <si>
    <t>1532940241</t>
  </si>
  <si>
    <t>Термонаклейка Сердце Бабочки летят</t>
  </si>
  <si>
    <t>OZN1532938508</t>
  </si>
  <si>
    <t>60_vert</t>
  </si>
  <si>
    <t>т1</t>
  </si>
  <si>
    <t>1532938508</t>
  </si>
  <si>
    <t>Термонаклейка Рука Фатимы</t>
  </si>
  <si>
    <t>OZN1532938459</t>
  </si>
  <si>
    <t>62_vert</t>
  </si>
  <si>
    <t>у9</t>
  </si>
  <si>
    <t>1532938459</t>
  </si>
  <si>
    <t>Термонаклейка Кассета цветы Vintage Soul</t>
  </si>
  <si>
    <t>OZN1532939316</t>
  </si>
  <si>
    <t>64_vert</t>
  </si>
  <si>
    <t>т49</t>
  </si>
  <si>
    <t>1532939316</t>
  </si>
  <si>
    <t>Термонаклейка Большая волна в Канагаве Солнце</t>
  </si>
  <si>
    <t>OZN1532938950</t>
  </si>
  <si>
    <t>65_vert</t>
  </si>
  <si>
    <t>т11</t>
  </si>
  <si>
    <t>1532938950</t>
  </si>
  <si>
    <t>Термонаклейка Фламинго Flamingo цветы</t>
  </si>
  <si>
    <t>OZN1532938598</t>
  </si>
  <si>
    <t>66_vert</t>
  </si>
  <si>
    <t>т55</t>
  </si>
  <si>
    <t>1532938598</t>
  </si>
  <si>
    <t>Термонаклейка Инь Янь Леопарды</t>
  </si>
  <si>
    <t>OZN1532938476</t>
  </si>
  <si>
    <t>69_vert</t>
  </si>
  <si>
    <t>т15</t>
  </si>
  <si>
    <t>1532938476</t>
  </si>
  <si>
    <t>Термонаклейка Змеи черная белая 2шт</t>
  </si>
  <si>
    <t>OZN1532940015</t>
  </si>
  <si>
    <t>70_vert</t>
  </si>
  <si>
    <t>у37</t>
  </si>
  <si>
    <t>1532940015</t>
  </si>
  <si>
    <r>
      <rPr>
        <sz val="11"/>
        <color rgb="FF000000"/>
        <rFont val="Calibri"/>
        <family val="2"/>
        <charset val="204"/>
      </rPr>
      <t xml:space="preserve">Термонаклейка </t>
    </r>
    <r>
      <rPr>
        <sz val="10"/>
        <color rgb="FF000000"/>
        <rFont val="Arial"/>
        <family val="2"/>
        <charset val="204"/>
      </rPr>
      <t xml:space="preserve">набор </t>
    </r>
    <r>
      <rPr>
        <sz val="11"/>
        <color rgb="FF000000"/>
        <rFont val="Calibri"/>
        <family val="2"/>
        <charset val="204"/>
      </rPr>
      <t>С</t>
    </r>
    <r>
      <rPr>
        <sz val="10"/>
        <color rgb="FF000000"/>
        <rFont val="Arial"/>
        <family val="2"/>
        <charset val="204"/>
      </rPr>
      <t xml:space="preserve">панч Боб Sponge Bob </t>
    </r>
  </si>
  <si>
    <t>Термонаклейка Девушка в синем у моря</t>
  </si>
  <si>
    <t>OZN2449977838</t>
  </si>
  <si>
    <t>img_1_vert</t>
  </si>
  <si>
    <t>в26</t>
  </si>
  <si>
    <t>Термонаклейка Вид на пляж из домика</t>
  </si>
  <si>
    <t>OZN2449981733</t>
  </si>
  <si>
    <t>img_2_vert</t>
  </si>
  <si>
    <t>в27</t>
  </si>
  <si>
    <t>Термонаклейка Графичное лицо в чёрно-белом</t>
  </si>
  <si>
    <t>OZN2449978674</t>
  </si>
  <si>
    <t>img_3_vert</t>
  </si>
  <si>
    <t>в28</t>
  </si>
  <si>
    <t>Термонаклейка Чёрная кошка с кругом цифра 9</t>
  </si>
  <si>
    <t>OZN2449977090</t>
  </si>
  <si>
    <t>img_4_vert</t>
  </si>
  <si>
    <t>в29</t>
  </si>
  <si>
    <t>Термонаклейка Сияй, чёрт возьми - корона</t>
  </si>
  <si>
    <t>OZN2449977830</t>
  </si>
  <si>
    <t>img_5_vert</t>
  </si>
  <si>
    <t>в30</t>
  </si>
  <si>
    <t>Термонаклейка Букет тюльпанов бело-синий фон</t>
  </si>
  <si>
    <t>OZN2449977854</t>
  </si>
  <si>
    <t>img_6_vert</t>
  </si>
  <si>
    <t>в31</t>
  </si>
  <si>
    <t>Термонаклейка Девушка в ромашковом поле</t>
  </si>
  <si>
    <t>OZN2449977394</t>
  </si>
  <si>
    <t>img_7_vert</t>
  </si>
  <si>
    <t>в32</t>
  </si>
  <si>
    <t>Термонаклейка Девушка ebis ono by horse</t>
  </si>
  <si>
    <t>OZN2449978285</t>
  </si>
  <si>
    <t>img_8_vert</t>
  </si>
  <si>
    <t>в33</t>
  </si>
  <si>
    <t>Термонаклейка Девушка в белом на берегу моря</t>
  </si>
  <si>
    <t>OZN2449976996</t>
  </si>
  <si>
    <t>img_9_vert</t>
  </si>
  <si>
    <t>в34</t>
  </si>
  <si>
    <t>Термонаклейка Эйфелева башня и лицо девушки</t>
  </si>
  <si>
    <t>OZN2449976830</t>
  </si>
  <si>
    <t>img_10_vert</t>
  </si>
  <si>
    <t>в35</t>
  </si>
  <si>
    <t>Термонаклейка Девушка с цветами в арт-стиле</t>
  </si>
  <si>
    <t>OZN2449979383</t>
  </si>
  <si>
    <t>img_11_vert</t>
  </si>
  <si>
    <t>в36</t>
  </si>
  <si>
    <t>Термонаклейка Тюльпаны акварель</t>
  </si>
  <si>
    <t>OZN2449977812</t>
  </si>
  <si>
    <t>img_12_vert</t>
  </si>
  <si>
    <t>в37</t>
  </si>
  <si>
    <t>Термонаклейка Яхта у белых домиков море</t>
  </si>
  <si>
    <t>OZN2449977863</t>
  </si>
  <si>
    <t>img_13_vert</t>
  </si>
  <si>
    <t>в38</t>
  </si>
  <si>
    <t>Термонаклейка Яркие лодки на бирюзовой море</t>
  </si>
  <si>
    <t>OZN2449977213</t>
  </si>
  <si>
    <t>img_14_vert</t>
  </si>
  <si>
    <t>в39</t>
  </si>
  <si>
    <t>Термонаклейка Девушка в поле розовых цветов</t>
  </si>
  <si>
    <t>OZN2449977972</t>
  </si>
  <si>
    <t>img_15_vert</t>
  </si>
  <si>
    <t>в40</t>
  </si>
  <si>
    <t>Термонаклейка Фламинго на воде</t>
  </si>
  <si>
    <t>OZN2449975997</t>
  </si>
  <si>
    <t>img_16_vert</t>
  </si>
  <si>
    <t>в41</t>
  </si>
  <si>
    <t>Термонаклейка Девочка и кот у моря</t>
  </si>
  <si>
    <t>OZN2449978096</t>
  </si>
  <si>
    <t>img_17_vert</t>
  </si>
  <si>
    <t>в42</t>
  </si>
  <si>
    <t>Термонаклейка Прикосновение рук Сотворения Адама</t>
  </si>
  <si>
    <t>OZN2449977489</t>
  </si>
  <si>
    <t>img_18_vert</t>
  </si>
  <si>
    <t>в43</t>
  </si>
  <si>
    <t>Термонаклейка Гортензии акварель</t>
  </si>
  <si>
    <t>OZN2449977848</t>
  </si>
  <si>
    <t>img_19_vert</t>
  </si>
  <si>
    <t>в44</t>
  </si>
  <si>
    <t>Термонаклейка Фламинго трое на воде право</t>
  </si>
  <si>
    <t>OZN2449979595</t>
  </si>
  <si>
    <t>img_21_vert</t>
  </si>
  <si>
    <t>в45</t>
  </si>
  <si>
    <t>Термонаклейка Чайка и морской пейзаж</t>
  </si>
  <si>
    <t>OZN2449977131</t>
  </si>
  <si>
    <t>img_22_vert</t>
  </si>
  <si>
    <t>в46</t>
  </si>
  <si>
    <t>Термонаклейка Медведь, волк и матрёшка</t>
  </si>
  <si>
    <t>OZN2449978809</t>
  </si>
  <si>
    <t>img_23_vert</t>
  </si>
  <si>
    <t>в47</t>
  </si>
  <si>
    <t>Термонаклейка Лимоны и морской пейзаж</t>
  </si>
  <si>
    <t>OZN2449977019</t>
  </si>
  <si>
    <t>img_24_vert</t>
  </si>
  <si>
    <t>в48</t>
  </si>
  <si>
    <t>Термонаклейка Балерина в белом платье</t>
  </si>
  <si>
    <t>OZN2449977151</t>
  </si>
  <si>
    <t>img_25_vert</t>
  </si>
  <si>
    <t>в49</t>
  </si>
  <si>
    <t>Термонаклейка Воздушный шар из пионов</t>
  </si>
  <si>
    <t>OZN2449978556</t>
  </si>
  <si>
    <t>img_26_vert</t>
  </si>
  <si>
    <t>в50</t>
  </si>
  <si>
    <t>Термонаклейка Медуза в очках и с змеями</t>
  </si>
  <si>
    <t>OZN2449977033</t>
  </si>
  <si>
    <t>img_27_vert</t>
  </si>
  <si>
    <t>в51</t>
  </si>
  <si>
    <t>Термонаклейка Роза с бутоном акварель</t>
  </si>
  <si>
    <t>OZN2449979646</t>
  </si>
  <si>
    <t>img_28_vert</t>
  </si>
  <si>
    <t>в52</t>
  </si>
  <si>
    <t>Термонаклейка Рука жест рок металл</t>
  </si>
  <si>
    <t>OZN2449977121</t>
  </si>
  <si>
    <t>img_29_vert</t>
  </si>
  <si>
    <t>в53</t>
  </si>
  <si>
    <t>Термонаклейка Девушка в золотых трещинах</t>
  </si>
  <si>
    <t>OZN2449977623</t>
  </si>
  <si>
    <t>img_30_vert</t>
  </si>
  <si>
    <t>в54</t>
  </si>
  <si>
    <t>Термонаклейка Не буди лихо пока тихо</t>
  </si>
  <si>
    <t>OZN2449978533</t>
  </si>
  <si>
    <t>img_31_vert</t>
  </si>
  <si>
    <t>в55</t>
  </si>
  <si>
    <t>Термонаклейка Треснувшая античная скульптура</t>
  </si>
  <si>
    <t>OZN2449978115</t>
  </si>
  <si>
    <t>img_32_vert</t>
  </si>
  <si>
    <t>в56</t>
  </si>
  <si>
    <t>Термонаклейка Яркий цветок акварель</t>
  </si>
  <si>
    <t>OZN2449978546</t>
  </si>
  <si>
    <t>img_33_vert</t>
  </si>
  <si>
    <t>в57</t>
  </si>
  <si>
    <t>Термонаклейка Три фламинго у воды лево</t>
  </si>
  <si>
    <t>OZN2449976743</t>
  </si>
  <si>
    <t>img_34_vert</t>
  </si>
  <si>
    <t>в58</t>
  </si>
  <si>
    <t>Термонаклейка Египетская кошка в золоте</t>
  </si>
  <si>
    <t>OZN2449977504</t>
  </si>
  <si>
    <t>img_35_vert</t>
  </si>
  <si>
    <t>в59</t>
  </si>
  <si>
    <t>Термонаклейка Чёрная кошка и луна</t>
  </si>
  <si>
    <t>OZN2449976986</t>
  </si>
  <si>
    <t>img_36_vert</t>
  </si>
  <si>
    <t>в60</t>
  </si>
  <si>
    <t>Термонаклейка Итальянская набережная</t>
  </si>
  <si>
    <t>OZN2449976760</t>
  </si>
  <si>
    <t>img_37_vert</t>
  </si>
  <si>
    <t>в61</t>
  </si>
  <si>
    <t>Термонаклейка Уточка с полотенцем</t>
  </si>
  <si>
    <t>OZN2449977197</t>
  </si>
  <si>
    <t>img_38_vert</t>
  </si>
  <si>
    <t>в62</t>
  </si>
  <si>
    <t>Термонаклейка Шредер и Кренг из Черепашек-ниндзя</t>
  </si>
  <si>
    <t>OZN2474252601</t>
  </si>
  <si>
    <t>img_39_vert</t>
  </si>
  <si>
    <t>в63</t>
  </si>
  <si>
    <t>Термонаклейка Скелет череп байкер огонь</t>
  </si>
  <si>
    <t>OZN2474254911</t>
  </si>
  <si>
    <t>img_40_vert</t>
  </si>
  <si>
    <t>в64</t>
  </si>
  <si>
    <t>Термонаклейка Кибер-девушка в стиле аниме</t>
  </si>
  <si>
    <t>OZN2474254088</t>
  </si>
  <si>
    <t>img_41_vert</t>
  </si>
  <si>
    <t>в65</t>
  </si>
  <si>
    <t>Термонаклейка Белый волк с красным солнцем</t>
  </si>
  <si>
    <t>OZN2474253882</t>
  </si>
  <si>
    <t>img_42_vert</t>
  </si>
  <si>
    <t>в66</t>
  </si>
  <si>
    <t>Термонаклейка Кратос God of War с цитатой</t>
  </si>
  <si>
    <t>OZN2474256003</t>
  </si>
  <si>
    <t>img_43_vert</t>
  </si>
  <si>
    <t>в67</t>
  </si>
  <si>
    <t>Термонаклейка Яркий аниме белый дракон с огнём</t>
  </si>
  <si>
    <t>OZN2474252891</t>
  </si>
  <si>
    <t>img_44_vert</t>
  </si>
  <si>
    <t>в68</t>
  </si>
  <si>
    <t>Термонаклейка Зомби-дядя Сэм с надписью CONSUME</t>
  </si>
  <si>
    <t>OZN2474253289</t>
  </si>
  <si>
    <t>img_45_vert</t>
  </si>
  <si>
    <t>в69</t>
  </si>
  <si>
    <t>Термонаклейка Яркий тигр с пастью на фоне луны</t>
  </si>
  <si>
    <t>OZN2474254390</t>
  </si>
  <si>
    <t>img_46_vert</t>
  </si>
  <si>
    <t>в70</t>
  </si>
  <si>
    <t>Термонаклейка Чёрный кот Catzilla Годзилла ловит</t>
  </si>
  <si>
    <t>OZN2474254458</t>
  </si>
  <si>
    <t>img_47_vert</t>
  </si>
  <si>
    <t>в71</t>
  </si>
  <si>
    <t>Термонаклейка Лев в жёлтой куртке</t>
  </si>
  <si>
    <t>OZN2474255592</t>
  </si>
  <si>
    <t>img_48_vert</t>
  </si>
  <si>
    <t>в72</t>
  </si>
  <si>
    <t>Термонаклейка Девушка с автоматом аниме</t>
  </si>
  <si>
    <t>OZN2474251481</t>
  </si>
  <si>
    <t>img_49_vert</t>
  </si>
  <si>
    <t>в73</t>
  </si>
  <si>
    <t>Термонаклейка Акира и мотоцикл Аниме</t>
  </si>
  <si>
    <t>OZN2474254585</t>
  </si>
  <si>
    <t>img_50_vert</t>
  </si>
  <si>
    <t>в74</t>
  </si>
  <si>
    <t>Термонаклейка Акира на троне среди металлолома</t>
  </si>
  <si>
    <t>OZN2474254579</t>
  </si>
  <si>
    <t>img_51_vert</t>
  </si>
  <si>
    <t>в75</t>
  </si>
  <si>
    <t>Термонаклейка Киберпанк мужской портрет</t>
  </si>
  <si>
    <t>OZN2474254998</t>
  </si>
  <si>
    <t>img_52_vert</t>
  </si>
  <si>
    <t>в76</t>
  </si>
  <si>
    <t>Термонаклейка Берсерк воин в аниме стиле</t>
  </si>
  <si>
    <t>OZN2474252626</t>
  </si>
  <si>
    <t>img_53_vert</t>
  </si>
  <si>
    <t>в77</t>
  </si>
  <si>
    <t>Термонаклейка Акира Глаз ядерный взрыв</t>
  </si>
  <si>
    <t>OZN2474251681</t>
  </si>
  <si>
    <t>img_54_vert</t>
  </si>
  <si>
    <t>в78</t>
  </si>
  <si>
    <t>Термонаклейка Акира мотоцикл и разрушения</t>
  </si>
  <si>
    <t>OZN2474252861</t>
  </si>
  <si>
    <t>img_55_vert</t>
  </si>
  <si>
    <t>в79</t>
  </si>
  <si>
    <t>Термонаклейка Самурай в маске воина</t>
  </si>
  <si>
    <t>OZN2474251571</t>
  </si>
  <si>
    <t>img_56_vert</t>
  </si>
  <si>
    <t>в80</t>
  </si>
  <si>
    <t>Термонаклейка Череп в терновом венке и розах</t>
  </si>
  <si>
    <t>OZN2474254021</t>
  </si>
  <si>
    <t>img_57_vert</t>
  </si>
  <si>
    <t>в81</t>
  </si>
  <si>
    <t>Термонаклейка Череп в куртке Punk Not Dead</t>
  </si>
  <si>
    <t>OZN2474254255</t>
  </si>
  <si>
    <t>img_58_vert</t>
  </si>
  <si>
    <t>в82</t>
  </si>
  <si>
    <t>Термонаклейка Гарри Поттер и Хагрид курят</t>
  </si>
  <si>
    <t>OZN2474251925</t>
  </si>
  <si>
    <t>img_59_vert</t>
  </si>
  <si>
    <t>в83</t>
  </si>
  <si>
    <t>Термонаклейка Киберпанк череп с ирокезом</t>
  </si>
  <si>
    <t>OZN2474253325</t>
  </si>
  <si>
    <t>img_60_vert</t>
  </si>
  <si>
    <t>в84</t>
  </si>
  <si>
    <t>Термонаклейка Пантера в огненной ярости красный</t>
  </si>
  <si>
    <t>OZN2474254273</t>
  </si>
  <si>
    <t>img_61_vert</t>
  </si>
  <si>
    <t>в85</t>
  </si>
  <si>
    <t>Термонаклейка Кибердевушка с капюшоном</t>
  </si>
  <si>
    <t>OZN2474254639</t>
  </si>
  <si>
    <t>img_62_vert</t>
  </si>
  <si>
    <t>в86</t>
  </si>
  <si>
    <t>Термонаклейка Череп с рогами и логотипом Metallica</t>
  </si>
  <si>
    <t>OZN2474255236</t>
  </si>
  <si>
    <t>img_63_vert</t>
  </si>
  <si>
    <t>в87</t>
  </si>
  <si>
    <t>Термонаклейка Берсерк Рыцарь с мечом под луной</t>
  </si>
  <si>
    <t>OZN2474252885</t>
  </si>
  <si>
    <t>img_64_vert</t>
  </si>
  <si>
    <t>в88</t>
  </si>
  <si>
    <t>Термонаклейка Чёрный кот Catzilla Годзилла луч</t>
  </si>
  <si>
    <t>OZN2474431127</t>
  </si>
  <si>
    <t>img_65_vert</t>
  </si>
  <si>
    <t>в89</t>
  </si>
  <si>
    <t>Термонаклейка Сигма мем американский психопат</t>
  </si>
  <si>
    <t>OZN2474253913</t>
  </si>
  <si>
    <t>img_66_vert</t>
  </si>
  <si>
    <t>в91</t>
  </si>
  <si>
    <t>Термонаклейка Шрек мем поднимает голову</t>
  </si>
  <si>
    <t>OZN2474252719</t>
  </si>
  <si>
    <t>img_67_vert</t>
  </si>
  <si>
    <t>в90</t>
  </si>
  <si>
    <t>баркод тест</t>
  </si>
  <si>
    <t>тест</t>
  </si>
  <si>
    <t>OZN3691738336</t>
  </si>
  <si>
    <t>img_set11_1_vert</t>
  </si>
  <si>
    <t>р1</t>
  </si>
  <si>
    <t>Термонаклейка Япония кот и гора Фудзи</t>
  </si>
  <si>
    <t>OZN3691844929</t>
  </si>
  <si>
    <t>img_set11_2_vert</t>
  </si>
  <si>
    <t>р2</t>
  </si>
  <si>
    <t>Термонаклейка Девушка в красном над морем</t>
  </si>
  <si>
    <t>OZN3691843233</t>
  </si>
  <si>
    <t>img_set11_3_vert</t>
  </si>
  <si>
    <t>р3</t>
  </si>
  <si>
    <t>Термонаклейка Девушка на пути к свету</t>
  </si>
  <si>
    <t>OZN3691842493</t>
  </si>
  <si>
    <t>img_set11_4_vert</t>
  </si>
  <si>
    <t>р4</t>
  </si>
  <si>
    <t>Термонаклейка Поле тюльпанов под небом</t>
  </si>
  <si>
    <t>OZN3691843824</t>
  </si>
  <si>
    <t>img_set11_5_vert</t>
  </si>
  <si>
    <t>р5</t>
  </si>
  <si>
    <t>Термонаклейка Девушка с подсолнухом</t>
  </si>
  <si>
    <t>OZN3701081855</t>
  </si>
  <si>
    <t>img_set11_6_vert</t>
  </si>
  <si>
    <t>р6</t>
  </si>
  <si>
    <t>Термонаклейка Неоновая девушка луна</t>
  </si>
  <si>
    <t>OZN3691844304</t>
  </si>
  <si>
    <t>img_set11_7_vert</t>
  </si>
  <si>
    <t>р7</t>
  </si>
  <si>
    <t>Термонаклейка Нежный ангел арт</t>
  </si>
  <si>
    <t>OZN3691843952</t>
  </si>
  <si>
    <t>img_set11_8_vert</t>
  </si>
  <si>
    <t>р8</t>
  </si>
  <si>
    <t>Термонаклейка Дерево из сердец</t>
  </si>
  <si>
    <t>OZN3691843793</t>
  </si>
  <si>
    <t>img_set11_9_vert</t>
  </si>
  <si>
    <t>р9</t>
  </si>
  <si>
    <t>Термонаклейка Девушка и конь в цветах</t>
  </si>
  <si>
    <t>OZN3691843306</t>
  </si>
  <si>
    <t>img_set11_10_vert</t>
  </si>
  <si>
    <t>р10</t>
  </si>
  <si>
    <t>Термонаклейка Девушка у моря и вино</t>
  </si>
  <si>
    <t>OZN3691844657</t>
  </si>
  <si>
    <t>img_set11_11_vert</t>
  </si>
  <si>
    <t>р11</t>
  </si>
  <si>
    <t>Термонаклейка Котик в синем платке</t>
  </si>
  <si>
    <t>OZN3691844921</t>
  </si>
  <si>
    <t>img_set11_12_vert</t>
  </si>
  <si>
    <t>р12</t>
  </si>
  <si>
    <t>Термонаклейка Закат море парусники</t>
  </si>
  <si>
    <t>OZN3691843790</t>
  </si>
  <si>
    <t>img_set11_13_vert</t>
  </si>
  <si>
    <t>р13</t>
  </si>
  <si>
    <t>Термонаклейка Девушка с зонтом из цветов</t>
  </si>
  <si>
    <t>OZN3691844110</t>
  </si>
  <si>
    <t>img_set11_14_vert</t>
  </si>
  <si>
    <t>р14</t>
  </si>
  <si>
    <t>Термонаклейка Яркие коты неон арт</t>
  </si>
  <si>
    <t>OZN3691843469</t>
  </si>
  <si>
    <t>img_set11_15_vert</t>
  </si>
  <si>
    <t>р15</t>
  </si>
  <si>
    <t>Термонаклейка Глаз и красные розы</t>
  </si>
  <si>
    <t>OZN3691842765</t>
  </si>
  <si>
    <t>img_set11_16_vert</t>
  </si>
  <si>
    <t>р16</t>
  </si>
  <si>
    <t>Термонаклейка Девушка с букетом роз у моря</t>
  </si>
  <si>
    <t>OZN3691844839</t>
  </si>
  <si>
    <t>img_set11_17_vert</t>
  </si>
  <si>
    <t>р17</t>
  </si>
  <si>
    <t>Термонаклейка Девушка и красные маки</t>
  </si>
  <si>
    <t>OZN3691844620</t>
  </si>
  <si>
    <t>img_set11_18_vert</t>
  </si>
  <si>
    <t>р18</t>
  </si>
  <si>
    <t>Термонаклейка Девушка с конем из цветов</t>
  </si>
  <si>
    <t>OZN3691842650</t>
  </si>
  <si>
    <t>img_set11_19_vert</t>
  </si>
  <si>
    <t>р19</t>
  </si>
  <si>
    <t>Термонаклейка Мистический глаз солнце</t>
  </si>
  <si>
    <t>OZN3691843282</t>
  </si>
  <si>
    <t>img_set11_20_vert</t>
  </si>
  <si>
    <t>р20</t>
  </si>
  <si>
    <t>Термонаклейка Кот в ярких красках</t>
  </si>
  <si>
    <t>OZN3691841964</t>
  </si>
  <si>
    <t>img_set11_21_vert</t>
  </si>
  <si>
    <t>р21</t>
  </si>
  <si>
    <t>Термонаклейка Космический кот и планета</t>
  </si>
  <si>
    <t>OZN3691842613</t>
  </si>
  <si>
    <t>img_set11_22_vert</t>
  </si>
  <si>
    <t>р22</t>
  </si>
  <si>
    <t>Термонаклейка Милый кот с раменом</t>
  </si>
  <si>
    <t>OZN3691844061</t>
  </si>
  <si>
    <t>img_set11_23_horiz</t>
  </si>
  <si>
    <t>р23</t>
  </si>
  <si>
    <t>Термонаклейка Манэки-неко кот удачи</t>
  </si>
  <si>
    <t>OZN3691843907</t>
  </si>
  <si>
    <t>img_set11_24_vert</t>
  </si>
  <si>
    <t>р24</t>
  </si>
  <si>
    <t>Термонаклейка Аниме девушка каваи стиль</t>
  </si>
  <si>
    <t>OZN3691842819</t>
  </si>
  <si>
    <t>img_set11_25_vert</t>
  </si>
  <si>
    <t>р25</t>
  </si>
  <si>
    <t>Термонаклейка Кот самурай с катаной</t>
  </si>
  <si>
    <t>OZN3691843618</t>
  </si>
  <si>
    <t>img_set11_26_vert</t>
  </si>
  <si>
    <t>р26</t>
  </si>
  <si>
    <t>Термонаклейка Медведь узоры арт</t>
  </si>
  <si>
    <t>OZN3691843045</t>
  </si>
  <si>
    <t>img_set11_27_vert</t>
  </si>
  <si>
    <t>р27</t>
  </si>
  <si>
    <t>Термонаклейка Черный кот ест лапшу</t>
  </si>
  <si>
    <t>OZN3691843846</t>
  </si>
  <si>
    <t>img_set11_28_vert</t>
  </si>
  <si>
    <t>р28</t>
  </si>
  <si>
    <t>Термонаклейка Неоновая пантера арт</t>
  </si>
  <si>
    <t>OZN3691843333</t>
  </si>
  <si>
    <t>img_set11_29_vert</t>
  </si>
  <si>
    <t>р29</t>
  </si>
  <si>
    <t>Термонаклейка Заяц неон арт персонаж</t>
  </si>
  <si>
    <t>OZN3691844082</t>
  </si>
  <si>
    <t>img_set11_30_vert</t>
  </si>
  <si>
    <t>р30</t>
  </si>
  <si>
    <t>Термонаклейка Девушка неон космос</t>
  </si>
  <si>
    <t>OZN3697386923</t>
  </si>
  <si>
    <t>img_set8_1_vert</t>
  </si>
  <si>
    <t>р31</t>
  </si>
  <si>
    <t>Термонаклейка Волшебная шляпа Гарри Поттер</t>
  </si>
  <si>
    <t>OZN3697386036</t>
  </si>
  <si>
    <t>img_set8_2_vert</t>
  </si>
  <si>
    <t>р32</t>
  </si>
  <si>
    <t>Термонаклейка Леопард в траве арт</t>
  </si>
  <si>
    <t>OZN3697386822</t>
  </si>
  <si>
    <t>img_set8_3_vert</t>
  </si>
  <si>
    <t>р33</t>
  </si>
  <si>
    <t>Термонаклейка Прикосновение рук Сотворения Адама 4</t>
  </si>
  <si>
    <t>OZN3697385068</t>
  </si>
  <si>
    <t>img_set8_4_vert</t>
  </si>
  <si>
    <t>р34</t>
  </si>
  <si>
    <t>Термонаклейка Сова волшебник Гарри Поттер</t>
  </si>
  <si>
    <t>OZN3697386369</t>
  </si>
  <si>
    <t>img_set8_5_vert</t>
  </si>
  <si>
    <t>р35</t>
  </si>
  <si>
    <t>Термонаклейка Черный котик лапки</t>
  </si>
  <si>
    <t>OZN3697385469</t>
  </si>
  <si>
    <t>img_set8_7_vert</t>
  </si>
  <si>
    <t>р36</t>
  </si>
  <si>
    <t>Термонаклейка Адам и Ева яблоко змея</t>
  </si>
  <si>
    <t>OZN3697386735</t>
  </si>
  <si>
    <t>img_set8_8_vert</t>
  </si>
  <si>
    <t>р37</t>
  </si>
  <si>
    <t>Термонаклейка Черный кот с языком</t>
  </si>
  <si>
    <t>OZN3697385185</t>
  </si>
  <si>
    <t>img_set8_9_vert</t>
  </si>
  <si>
    <t>р38</t>
  </si>
  <si>
    <t>Термонаклейка Маленький принц и лис звезды</t>
  </si>
  <si>
    <t>OZN3697386325</t>
  </si>
  <si>
    <t>img_set8_10_vert</t>
  </si>
  <si>
    <t>р39</t>
  </si>
  <si>
    <t>Термонаклейка Сердце в руках арт</t>
  </si>
  <si>
    <t>OZN3697386666</t>
  </si>
  <si>
    <t>img_set8_11_vert</t>
  </si>
  <si>
    <t>р40</t>
  </si>
  <si>
    <t>Термонаклейка Do What You Love арт</t>
  </si>
  <si>
    <t>OZN3697377718</t>
  </si>
  <si>
    <t>img_set8_12_vert</t>
  </si>
  <si>
    <t>р41</t>
  </si>
  <si>
    <t>Термонаклейка Геометрическая собака</t>
  </si>
  <si>
    <t>OZN3697384880</t>
  </si>
  <si>
    <t>img_set8_13_vert</t>
  </si>
  <si>
    <t>р42</t>
  </si>
  <si>
    <t>Термонаклейка Геометрический заяц</t>
  </si>
  <si>
    <t>OZN3697378793</t>
  </si>
  <si>
    <t>img_set8_14_vert</t>
  </si>
  <si>
    <t>р43</t>
  </si>
  <si>
    <t>Термонаклейка Big Girls Don’t Cry</t>
  </si>
  <si>
    <t>OZN3697385541</t>
  </si>
  <si>
    <t>img_set8_15_vert</t>
  </si>
  <si>
    <t>р44</t>
  </si>
  <si>
    <t>Термонаклейка Кит в розовых облаках</t>
  </si>
  <si>
    <t>OZN3697387233</t>
  </si>
  <si>
    <t>img_set8_16_vert</t>
  </si>
  <si>
    <t>р45</t>
  </si>
  <si>
    <t>Термонаклейка Кот в худи и очках</t>
  </si>
  <si>
    <t>OZN3697386529</t>
  </si>
  <si>
    <t>img_set8_17_vert</t>
  </si>
  <si>
    <t>р46</t>
  </si>
  <si>
    <t>Термонаклейка Летающий кит и город</t>
  </si>
  <si>
    <t>OZN3697387185</t>
  </si>
  <si>
    <t>img_set8_18_vert</t>
  </si>
  <si>
    <t>р47</t>
  </si>
  <si>
    <t>Термонаклейка Черный кот в цветах вариант2</t>
  </si>
  <si>
    <t>OZN3697386364</t>
  </si>
  <si>
    <t>img_set8_19_vert</t>
  </si>
  <si>
    <t>р48</t>
  </si>
  <si>
    <t>Термонаклейка Космос дом и астронавт</t>
  </si>
  <si>
    <t>OZN3697387392</t>
  </si>
  <si>
    <t>img_set8_20_vert</t>
  </si>
  <si>
    <t>р49</t>
  </si>
  <si>
    <t>Термонаклейка Самурай девушка кибер</t>
  </si>
  <si>
    <t>OZN3697386937</t>
  </si>
  <si>
    <t>img_set8_21_vert</t>
  </si>
  <si>
    <t>р50</t>
  </si>
  <si>
    <t>Термонаклейка Неоновый череп арт</t>
  </si>
  <si>
    <t>OZN3697385622</t>
  </si>
  <si>
    <t>img_set8_22_vert</t>
  </si>
  <si>
    <t>р51</t>
  </si>
  <si>
    <t>Термонаклейка Космос поле и астронавт</t>
  </si>
  <si>
    <t>OZN3697384946</t>
  </si>
  <si>
    <t>img_set8_23_vert</t>
  </si>
  <si>
    <t>р52</t>
  </si>
  <si>
    <t>Термонаклейка Черная пантера и цветы</t>
  </si>
  <si>
    <t>OZN3697385546</t>
  </si>
  <si>
    <t>img_set8_24_vert</t>
  </si>
  <si>
    <t>р53</t>
  </si>
  <si>
    <t>Термонаклейка Астронавт и время космос</t>
  </si>
  <si>
    <t>OZN3697386057</t>
  </si>
  <si>
    <t>img_set8_25_vert</t>
  </si>
  <si>
    <t>р54</t>
  </si>
  <si>
    <t>Термонаклейка Астронавт и часы</t>
  </si>
  <si>
    <t>OZN3697386517</t>
  </si>
  <si>
    <t>img_set8_26_vert</t>
  </si>
  <si>
    <t>р55</t>
  </si>
  <si>
    <t>Термонаклейка Горы и красная луна</t>
  </si>
  <si>
    <t>OZN3697386081</t>
  </si>
  <si>
    <t>img_set8_27_vert</t>
  </si>
  <si>
    <t>р56</t>
  </si>
  <si>
    <t>Термонаклейка Космический глаз вселенная</t>
  </si>
  <si>
    <t>OZN3697387116</t>
  </si>
  <si>
    <t>img_set8_28_vert</t>
  </si>
  <si>
    <t>р57</t>
  </si>
  <si>
    <t>Термонаклейка Плохой кот Bad Kitty</t>
  </si>
  <si>
    <t>OZN3697386368</t>
  </si>
  <si>
    <t>img_set8_29_vert</t>
  </si>
  <si>
    <t>р58</t>
  </si>
  <si>
    <t>Термонаклейка Яркий глаз поп арт</t>
  </si>
  <si>
    <t>OZN3697384419</t>
  </si>
  <si>
    <t>img_set8_30_vert</t>
  </si>
  <si>
    <t>р59</t>
  </si>
  <si>
    <t>Термонаклейка Девушка космос очки</t>
  </si>
  <si>
    <t>OZN3697505764</t>
  </si>
  <si>
    <t>img_set13_1_vert</t>
  </si>
  <si>
    <t>р60</t>
  </si>
  <si>
    <t>Термонаклейка Девушка красные украшения</t>
  </si>
  <si>
    <t>OZN3697505811</t>
  </si>
  <si>
    <t>img_set13_2_vert</t>
  </si>
  <si>
    <t>р61</t>
  </si>
  <si>
    <t>Термонаклейка Фея на цветке</t>
  </si>
  <si>
    <t>OZN3697505218</t>
  </si>
  <si>
    <t>img_set13_3_vert</t>
  </si>
  <si>
    <t>р62</t>
  </si>
  <si>
    <t>Термонаклейка Девушка с синими волосами рыбы</t>
  </si>
  <si>
    <t>OZN3697505575</t>
  </si>
  <si>
    <t>img_set13_4_vert</t>
  </si>
  <si>
    <t>р63</t>
  </si>
  <si>
    <t>Термонаклейка Горы и закат пейзаж</t>
  </si>
  <si>
    <t>OZN3697504812</t>
  </si>
  <si>
    <t>img_set13_5_horiz</t>
  </si>
  <si>
    <t>р64</t>
  </si>
  <si>
    <t>Термонаклейка Девушка яркий арт стиль</t>
  </si>
  <si>
    <t>OZN3697504278</t>
  </si>
  <si>
    <t>img_set13_6_vert</t>
  </si>
  <si>
    <t>р65</t>
  </si>
  <si>
    <t>Термонаклейка Девушка с венком вышиванка</t>
  </si>
  <si>
    <t>OZN3697504168</t>
  </si>
  <si>
    <t>img_set13_7_vert</t>
  </si>
  <si>
    <t>р66</t>
  </si>
  <si>
    <t>Термонаклейка Девушка с подсолнухом Аниме</t>
  </si>
  <si>
    <t>OZN3691844111</t>
  </si>
  <si>
    <t>img_set13_8_vert</t>
  </si>
  <si>
    <t>р67</t>
  </si>
  <si>
    <t>Термонаклейка Неон лицо абстракция</t>
  </si>
  <si>
    <t>OZN3697504999</t>
  </si>
  <si>
    <t>img_set13_9_vert</t>
  </si>
  <si>
    <t>р68</t>
  </si>
  <si>
    <t>Термонаклейка Девушка в маках сон</t>
  </si>
  <si>
    <t>OZN3697504349</t>
  </si>
  <si>
    <t>img_set13_10_vert</t>
  </si>
  <si>
    <t>р69</t>
  </si>
  <si>
    <t>Термонаклейка Девушка и феникс птица</t>
  </si>
  <si>
    <t>OZN3697504998</t>
  </si>
  <si>
    <t>img_set13_11_vert</t>
  </si>
  <si>
    <t>р70</t>
  </si>
  <si>
    <t>Термонаклейка Кот в очках поп арт</t>
  </si>
  <si>
    <t>OZN3697504303</t>
  </si>
  <si>
    <t>img_set13_12_vert</t>
  </si>
  <si>
    <t>р71</t>
  </si>
  <si>
    <t>Термонаклейка Девушка и голубые рыбы</t>
  </si>
  <si>
    <t>OZN3697505436</t>
  </si>
  <si>
    <t>img_set13_13_vert</t>
  </si>
  <si>
    <t>р72</t>
  </si>
  <si>
    <t>Термонаклейка Кот с чипсами милый</t>
  </si>
  <si>
    <t>OZN3697504448</t>
  </si>
  <si>
    <t>img_set13_14_horiz</t>
  </si>
  <si>
    <t>р73</t>
  </si>
  <si>
    <t>Термонаклейка Девушка в цветах нежность</t>
  </si>
  <si>
    <t>OZN3697505978</t>
  </si>
  <si>
    <t>img_set13_15_vert</t>
  </si>
  <si>
    <t>р74</t>
  </si>
  <si>
    <t>Термонаклейка Лев яркие краски арт</t>
  </si>
  <si>
    <t>OZN3697505185</t>
  </si>
  <si>
    <t>img_set13_16_vert</t>
  </si>
  <si>
    <t>р75</t>
  </si>
  <si>
    <t>Термонаклейка Девушка и белый конь</t>
  </si>
  <si>
    <t>OZN3697505720</t>
  </si>
  <si>
    <t>img_set13_17_vert</t>
  </si>
  <si>
    <t>р76</t>
  </si>
  <si>
    <t>Термонаклейка Лицо в цветах яркий арт</t>
  </si>
  <si>
    <t>OZN3697504363</t>
  </si>
  <si>
    <t>img_set13_18_vert</t>
  </si>
  <si>
    <t>р77</t>
  </si>
  <si>
    <t>Термонаклейка Девушка и конь в красных цветах</t>
  </si>
  <si>
    <t>OZN3697505659</t>
  </si>
  <si>
    <t>img_set13_19_vert</t>
  </si>
  <si>
    <t>р78</t>
  </si>
  <si>
    <t>Термонаклейка Девушка и попугай</t>
  </si>
  <si>
    <t>OZN3697504814</t>
  </si>
  <si>
    <t>img_set13_20_vert</t>
  </si>
  <si>
    <t>р79</t>
  </si>
  <si>
    <t>Термонаклейка Кот и бабочка поп арт</t>
  </si>
  <si>
    <t>OZN3697504906</t>
  </si>
  <si>
    <t>img_set13_21_vert</t>
  </si>
  <si>
    <t>р80</t>
  </si>
  <si>
    <t>Термонаклейка Кот в ванной с бокалом</t>
  </si>
  <si>
    <t>OZN3697504613</t>
  </si>
  <si>
    <t>img_set13_22_vert</t>
  </si>
  <si>
    <t>р81</t>
  </si>
  <si>
    <t>Термонаклейка Кот розовый в цветах арт</t>
  </si>
  <si>
    <t>OZN3697504347</t>
  </si>
  <si>
    <t>img_set13_24_vert</t>
  </si>
  <si>
    <t>р82</t>
  </si>
  <si>
    <t>Термонаклейка Сердце глаз космос</t>
  </si>
  <si>
    <t>OZN3697505355</t>
  </si>
  <si>
    <t>img_set13_25_vert</t>
  </si>
  <si>
    <t>р83</t>
  </si>
  <si>
    <t>Термонаклейка Ветви с белыми цветами</t>
  </si>
  <si>
    <t>OZN3697504996</t>
  </si>
  <si>
    <t>img_set13_26_vert</t>
  </si>
  <si>
    <t>р84</t>
  </si>
  <si>
    <t>Термонаклейка Глаз среди тюльпанов</t>
  </si>
  <si>
    <t>OZN3697506004</t>
  </si>
  <si>
    <t>img_set13_27_vert</t>
  </si>
  <si>
    <t>р85</t>
  </si>
  <si>
    <t>Термонаклейка Коты с узорами набор</t>
  </si>
  <si>
    <t>OZN3697504484</t>
  </si>
  <si>
    <t>img_set13_28_horiz</t>
  </si>
  <si>
    <t>р86</t>
  </si>
  <si>
    <t>Термонаклейка Сердца с глазом набор</t>
  </si>
  <si>
    <t>OZN3697504162</t>
  </si>
  <si>
    <t>img_set13_29_vert</t>
  </si>
  <si>
    <t>р87</t>
  </si>
  <si>
    <t>Термонаклейка Пантера и пионы арт</t>
  </si>
  <si>
    <t>OZN3697504479</t>
  </si>
  <si>
    <t>img_set13_30_vert</t>
  </si>
  <si>
    <t>р88</t>
  </si>
  <si>
    <t>Футболка Человек паук Spiderman р92</t>
  </si>
  <si>
    <t>OZN1137414937</t>
  </si>
  <si>
    <t>5_футболка</t>
  </si>
  <si>
    <t>Футболка Человек паук Spiderman р98</t>
  </si>
  <si>
    <t>OZN1137418791</t>
  </si>
  <si>
    <t>Футболка Человек паук Spiderman р104</t>
  </si>
  <si>
    <t>OZN1137421126</t>
  </si>
  <si>
    <t>Футболка Человек паук Spiderman р110</t>
  </si>
  <si>
    <t>OZN1137422959</t>
  </si>
  <si>
    <t>Футболка Человек паук Spiderman р116</t>
  </si>
  <si>
    <t>OZN1137425483</t>
  </si>
  <si>
    <t>Футболка Человек паук Spiderman р122</t>
  </si>
  <si>
    <t>OZN1137427457</t>
  </si>
  <si>
    <t>Футболка Человек паук Spiderman р128</t>
  </si>
  <si>
    <t>OZN1561295582</t>
  </si>
  <si>
    <t>Футболка Человек паук Spiderman р134</t>
  </si>
  <si>
    <t>OZN1561295637</t>
  </si>
  <si>
    <t>Футболка Русалочка с надписью. Крылышко. р92</t>
  </si>
  <si>
    <t>OZN1407682142</t>
  </si>
  <si>
    <t>Футболка Русалочка с надписью. Крылышко. р104</t>
  </si>
  <si>
    <t>OZN1407655063</t>
  </si>
  <si>
    <t>Футболка Русалочка с надписью. Крылышко. р122</t>
  </si>
  <si>
    <t>OZN1407654857</t>
  </si>
  <si>
    <t>Футболка Русалочка с надписью. Крылышко. р98</t>
  </si>
  <si>
    <t>OZN1407684701</t>
  </si>
  <si>
    <t>Футболка Русалочка с надписью. Крылышко. р116</t>
  </si>
  <si>
    <t>OZN1407655127</t>
  </si>
  <si>
    <t>Футболка Русалочка с надписью. Крылышко. р110</t>
  </si>
  <si>
    <t>OZN1407655164</t>
  </si>
  <si>
    <t>Футболка Девочка с лошадью. Рукав крылышко. р92</t>
  </si>
  <si>
    <t>OZN1138519825</t>
  </si>
  <si>
    <t>Футболка Девочка с лошадью. Рукав крылышко. р98</t>
  </si>
  <si>
    <t>OZN1138530248</t>
  </si>
  <si>
    <t>Футболка Девочка с лошадью. Рукав крылышко. р104</t>
  </si>
  <si>
    <t>OZN1138543501</t>
  </si>
  <si>
    <t>Футболка Девочка с лошадью. Рукав крылышко. р110</t>
  </si>
  <si>
    <t>OZN1138541329</t>
  </si>
  <si>
    <t>Футболка Девочка с лошадью. Рукав крылышко. р116</t>
  </si>
  <si>
    <t>OZN1138546521</t>
  </si>
  <si>
    <t>Футболка Девочка с лошадью. Рукав крылышко. р122</t>
  </si>
  <si>
    <t>OZN1138548149</t>
  </si>
  <si>
    <t>Футболка Единорог. Рукав крылышко. р92</t>
  </si>
  <si>
    <t>OZN1442464289</t>
  </si>
  <si>
    <t>Футболка Единорог. Рукав крылышко. р98</t>
  </si>
  <si>
    <t>OZN1442439720</t>
  </si>
  <si>
    <t>Футболка Единорог. Рукав крылышко. р104</t>
  </si>
  <si>
    <t>OZN1442438922</t>
  </si>
  <si>
    <t>Футболка Единорог. Рукав крылышко. р110</t>
  </si>
  <si>
    <t>OZN1442465251</t>
  </si>
  <si>
    <t>Футболка Единорог. Рукав крылышко. р116</t>
  </si>
  <si>
    <t>OZN1442438371</t>
  </si>
  <si>
    <t>Футболка Единорог. Рукав крылышко. р122</t>
  </si>
  <si>
    <t>OZN1442438473</t>
  </si>
  <si>
    <t>Футболка Эльза и Анна. Рукав крылышко. Р92</t>
  </si>
  <si>
    <t>OZN1481767706</t>
  </si>
  <si>
    <t>Футболка Эльза и Анна. Рукав крылышко. Р98</t>
  </si>
  <si>
    <t>OZN1481767841</t>
  </si>
  <si>
    <t>Футболка Эльза и Анна. Рукав крылышко. Р104</t>
  </si>
  <si>
    <t>OZN1481767391</t>
  </si>
  <si>
    <t>Футболка Эльза и Анна. Рукав крылышко. Р110</t>
  </si>
  <si>
    <t>OZN1481767588</t>
  </si>
  <si>
    <t>Футболка Эльза и Анна. Рукав крылышко. Р116</t>
  </si>
  <si>
    <t>OZN1481768711</t>
  </si>
  <si>
    <t>Футболка Эльза и Анна. Рукав крылышко. Р122</t>
  </si>
  <si>
    <t>OZN1481767363</t>
  </si>
  <si>
    <t>Футболка Эльза. Холодное сердце. Рукав крыл. Р92</t>
  </si>
  <si>
    <t>OZN1481851351</t>
  </si>
  <si>
    <t>Футболка Эльза. Холодное сердце. Рукав крыл. Р98</t>
  </si>
  <si>
    <t>OZN1481866608</t>
  </si>
  <si>
    <t>Футболка Эльза. Холодное сердце. Рукав крыл. Р104</t>
  </si>
  <si>
    <t>OZN1481867431</t>
  </si>
  <si>
    <t>Футболка Эльза. Холодное сердце. Рукав крыл. Р110</t>
  </si>
  <si>
    <t>OZN1481847268</t>
  </si>
  <si>
    <t>Футболка Эльза. Холодное сердце. Рукав крыл. Р116</t>
  </si>
  <si>
    <t>OZN1481862401</t>
  </si>
  <si>
    <t>Футболка Эльза. Холодное сердце. Рукав крыл. Р122</t>
  </si>
  <si>
    <t>OZN1481851778</t>
  </si>
  <si>
    <t>Футболка Единорог. Очки сердечки. Рукав крыл. Р92</t>
  </si>
  <si>
    <t>OZN1481874040</t>
  </si>
  <si>
    <t>Футболка Единорог. Очки сердечки. Рукав крыл. Р98</t>
  </si>
  <si>
    <t>OZN1481873104</t>
  </si>
  <si>
    <t>Футболка Единорог. Очки сердечки. Рукав крыл. Р104</t>
  </si>
  <si>
    <t>OZN1481873864</t>
  </si>
  <si>
    <t>Футболка Единорог. Очки сердечки. Рукав крыл. Р110</t>
  </si>
  <si>
    <t>OZN1481897681</t>
  </si>
  <si>
    <t>Футболка Единорог. Очки сердечки. Рукав крыл. Р116</t>
  </si>
  <si>
    <t>OZN1481874334</t>
  </si>
  <si>
    <t>Футболка Единорог. Очки сердечки. Рукав крыл. Р122</t>
  </si>
  <si>
    <t>OZN1481873467</t>
  </si>
  <si>
    <t>Футболка Минни Маус. Улыбка. Рукав крыл. Р92</t>
  </si>
  <si>
    <t>OZN1481889602</t>
  </si>
  <si>
    <t>Футболка Минни Маус. Улыбка. Рукав крыл. Р98</t>
  </si>
  <si>
    <t>OZN1481888396</t>
  </si>
  <si>
    <t>Футболка Минни Маус. Улыбка. Рукав крыл. Р104</t>
  </si>
  <si>
    <t>OZN1481888974</t>
  </si>
  <si>
    <t>Футболка Минни Маус. Улыбка. Рукав крыл. Р110</t>
  </si>
  <si>
    <t>OZN1481911342</t>
  </si>
  <si>
    <t>Футболка Минни Маус. Улыбка. Рукав крыл. Р116</t>
  </si>
  <si>
    <t>OZN1481888092</t>
  </si>
  <si>
    <t>Футболка Минни Маус. Улыбка. Рукав крыл. Р122</t>
  </si>
  <si>
    <t>OZN1481912052</t>
  </si>
  <si>
    <t>Платье желтое р92</t>
  </si>
  <si>
    <t>OZN1564147365</t>
  </si>
  <si>
    <t>Платье желтое р98</t>
  </si>
  <si>
    <t>OZN1564148169</t>
  </si>
  <si>
    <t>Платье желтое р104</t>
  </si>
  <si>
    <t>OZN1564147856</t>
  </si>
  <si>
    <t>Платье желтое р110</t>
  </si>
  <si>
    <t>OZN1564149161</t>
  </si>
  <si>
    <t>Платье желтое р116</t>
  </si>
  <si>
    <t>OZN1564148715</t>
  </si>
  <si>
    <t>Платье желтое р122</t>
  </si>
  <si>
    <t>OZN1564147686</t>
  </si>
  <si>
    <t>Футболка Соник Ежик Sonic р98</t>
  </si>
  <si>
    <t>OZN1564144981</t>
  </si>
  <si>
    <t>Футболка Соник Ежик Sonic р104</t>
  </si>
  <si>
    <t>OZN1564132235</t>
  </si>
  <si>
    <t>Футболка Соник Ежик Sonic р110</t>
  </si>
  <si>
    <t>OZN1564143276</t>
  </si>
  <si>
    <t>Футболка Соник Ежик Sonic р116</t>
  </si>
  <si>
    <t>OZN1564146858</t>
  </si>
  <si>
    <t>Футболка Соник Ежик Sonic р122</t>
  </si>
  <si>
    <t>OZN1564146056</t>
  </si>
  <si>
    <t>Футболка Соник Ежик Sonic р128</t>
  </si>
  <si>
    <t>OZN1564146641</t>
  </si>
  <si>
    <t>Футболка Соник Ежик Sonic р134</t>
  </si>
  <si>
    <t>OZN1564135044</t>
  </si>
  <si>
    <t>Футболка Единорог р98</t>
  </si>
  <si>
    <t>OZN1564142775</t>
  </si>
  <si>
    <t>Футболка Единорог р104</t>
  </si>
  <si>
    <t>OZN1564150584</t>
  </si>
  <si>
    <t>Футболка Единорог р110</t>
  </si>
  <si>
    <t>OZN1564133921</t>
  </si>
  <si>
    <t>Футболка Единорог р116</t>
  </si>
  <si>
    <t>OZN1564129445</t>
  </si>
  <si>
    <t>Футболка Единорог р122</t>
  </si>
  <si>
    <t>OZN1564149986</t>
  </si>
  <si>
    <t>Футболка Единорог р128</t>
  </si>
  <si>
    <t>OZN1564151229</t>
  </si>
  <si>
    <t>Футболка Единорог р134</t>
  </si>
  <si>
    <t>OZN1564150206</t>
  </si>
  <si>
    <t>Термонаклейка Девушка волосы облако Тест</t>
  </si>
  <si>
    <t>имена</t>
  </si>
  <si>
    <t>термобирки</t>
  </si>
  <si>
    <t>футболка</t>
  </si>
  <si>
    <t>maxim</t>
  </si>
  <si>
    <t>Термонаклейка Кот сфинкс арт на красный фон</t>
  </si>
  <si>
    <t>number_black0_20cm</t>
  </si>
  <si>
    <t>number_black1_20cm</t>
  </si>
  <si>
    <t>number_black2_20cm</t>
  </si>
  <si>
    <t>number_black3_20cm</t>
  </si>
  <si>
    <t>number_black4_20cm</t>
  </si>
  <si>
    <t>number_black5_20cm</t>
  </si>
  <si>
    <t>number_black6_20cm</t>
  </si>
  <si>
    <t>number_black7_20cm</t>
  </si>
  <si>
    <t>number_black8_20cm</t>
  </si>
  <si>
    <t>number_black9_20cm</t>
  </si>
  <si>
    <t>number_white0_20cm</t>
  </si>
  <si>
    <t>number_white1_20cm</t>
  </si>
  <si>
    <t>number_white2_20cm</t>
  </si>
  <si>
    <t>number_white3_20cm</t>
  </si>
  <si>
    <t>number_white4_20cm</t>
  </si>
  <si>
    <t>number_white5_20cm</t>
  </si>
  <si>
    <t>number_white6_20cm</t>
  </si>
  <si>
    <t>number_white7_20cm</t>
  </si>
  <si>
    <t>number_white8_20cm</t>
  </si>
  <si>
    <t>number_white9_20cm</t>
  </si>
  <si>
    <t>ном1</t>
  </si>
  <si>
    <t>ном2</t>
  </si>
  <si>
    <t>ном3</t>
  </si>
  <si>
    <t>ном4</t>
  </si>
  <si>
    <t>ном5</t>
  </si>
  <si>
    <t>ном6</t>
  </si>
  <si>
    <t>ном7</t>
  </si>
  <si>
    <t>ном8</t>
  </si>
  <si>
    <t>ном9</t>
  </si>
  <si>
    <t>ном10</t>
  </si>
  <si>
    <t>ном11</t>
  </si>
  <si>
    <t>ном12</t>
  </si>
  <si>
    <t>ном13</t>
  </si>
  <si>
    <t>ном14</t>
  </si>
  <si>
    <t>ном15</t>
  </si>
  <si>
    <t>ном16</t>
  </si>
  <si>
    <t>ном17</t>
  </si>
  <si>
    <t>ном18</t>
  </si>
  <si>
    <t>ном19</t>
  </si>
  <si>
    <t>ном20</t>
  </si>
  <si>
    <t>set3_002_labubu</t>
  </si>
  <si>
    <t>set3_004_stitch</t>
  </si>
  <si>
    <t>set3_007_sonic</t>
  </si>
  <si>
    <t>set3_008_sonic2D</t>
  </si>
  <si>
    <t>set3_009_spider2D</t>
  </si>
  <si>
    <t>set3_010_spiderNew</t>
  </si>
  <si>
    <t>set3_011_cats</t>
  </si>
  <si>
    <t>set3_017_lego</t>
  </si>
  <si>
    <t>set3_019_hotwheels</t>
  </si>
  <si>
    <t>set3_020_car</t>
  </si>
  <si>
    <t>set3_022_kitty</t>
  </si>
  <si>
    <t>set3_025_pokemon</t>
  </si>
  <si>
    <t>set3_minecraft1</t>
  </si>
  <si>
    <t>set3_minions2</t>
  </si>
  <si>
    <t>set3_Space1</t>
  </si>
  <si>
    <t>set3_spider_cartoon</t>
  </si>
  <si>
    <t>set3_tmnt_001</t>
  </si>
  <si>
    <t>c1</t>
  </si>
  <si>
    <t>c2</t>
  </si>
  <si>
    <t>c3</t>
  </si>
  <si>
    <t>c4</t>
  </si>
  <si>
    <t>c5</t>
  </si>
  <si>
    <t>c6</t>
  </si>
  <si>
    <t>c7</t>
  </si>
  <si>
    <t>c8</t>
  </si>
  <si>
    <t>c9</t>
  </si>
  <si>
    <t>c10</t>
  </si>
  <si>
    <t>c11</t>
  </si>
  <si>
    <t>c12</t>
  </si>
  <si>
    <t>c13</t>
  </si>
  <si>
    <t>c14</t>
  </si>
  <si>
    <t>c15</t>
  </si>
  <si>
    <t>c16</t>
  </si>
  <si>
    <t>c17</t>
  </si>
  <si>
    <t>c18</t>
  </si>
  <si>
    <t>c19</t>
  </si>
  <si>
    <t>Термонаклейка набор Лего Lego</t>
  </si>
  <si>
    <t>Термонаклейка набор Тачки Cars в1</t>
  </si>
  <si>
    <t>Термонаклейка набор Покемоны Pokemon 2D</t>
  </si>
  <si>
    <t>Термонаклейка набор Миньоны Minions 3D в1</t>
  </si>
  <si>
    <t>Термонаклейка номер большая черная цифра 0</t>
  </si>
  <si>
    <t>Термонаклейка номер большая черная цифра 1</t>
  </si>
  <si>
    <t>Термонаклейка номер большая черная цифра 2</t>
  </si>
  <si>
    <t>Термонаклейка номер большая черная цифра 3</t>
  </si>
  <si>
    <t>Термонаклейка номер большая черная цифра 4</t>
  </si>
  <si>
    <t>Термонаклейка номер большая белая цифра 9</t>
  </si>
  <si>
    <t>Термонаклейка номер большая белая цифра 8</t>
  </si>
  <si>
    <t>Термонаклейка номер большая белая цифра 7</t>
  </si>
  <si>
    <t>Термонаклейка номер большая белая цифра 6</t>
  </si>
  <si>
    <t>Термонаклейка номер большая белая цифра 5</t>
  </si>
  <si>
    <t>Термонаклейка номер большая белая цифра 4</t>
  </si>
  <si>
    <t>Термонаклейка номер большая белая цифра 3</t>
  </si>
  <si>
    <t>Термонаклейка номер большая белая цифра 2</t>
  </si>
  <si>
    <t>Термонаклейка номер большая белая цифра 1</t>
  </si>
  <si>
    <t>Термонаклейка номер большая белая цифра 0</t>
  </si>
  <si>
    <t>Термонаклейка номер большая черная цифра 9</t>
  </si>
  <si>
    <t>Термонаклейка номер большая черная цифра 8</t>
  </si>
  <si>
    <t>Термонаклейка номер большая черная цифра 7</t>
  </si>
  <si>
    <t>Термонаклейка номер большая черная цифра 6</t>
  </si>
  <si>
    <t>Термонаклейка номер большая черная цифра 5</t>
  </si>
  <si>
    <t>Термонаклейка набор Майнкрафт Minecraft в1</t>
  </si>
  <si>
    <t>Термонаклейка набор Тачки Hot Wheels</t>
  </si>
  <si>
    <t>Термонаклейка набор Космос Космонавтика</t>
  </si>
  <si>
    <t>Термонаклейка набор Человек-Паук Spider-man 2D в1</t>
  </si>
  <si>
    <t>Термонаклейка набор Милые Котики в1</t>
  </si>
  <si>
    <t>Термонаклейка набор Соник ёжик Sonic 2D в1</t>
  </si>
  <si>
    <t>Термонаклейка набор Соник ёжик Sonic 3D в1</t>
  </si>
  <si>
    <t>Термонаклейка набор Лило и Стич в1</t>
  </si>
  <si>
    <t>Термонаклейка набор Хеллоу Китти Hello Kitty в1</t>
  </si>
  <si>
    <t>Термонаклейка набор Человек-Паук cartoon</t>
  </si>
  <si>
    <t>Термонаклейка набор Лабубу Labubu</t>
  </si>
  <si>
    <t>https://raw.githubusercontent.com/maxuzkikh/Ozon_upload/refs/heads/main/images/А4/set_numbers/numbers_black/</t>
  </si>
  <si>
    <t>https://raw.githubusercontent.com/maxuzkikh/Ozon_upload/refs/heads/main/images/А4/set_numbers/numbers_white/</t>
  </si>
  <si>
    <t>https://raw.githubusercontent.com/maxuzkikh/Ozon_upload/refs/heads/main/images/А4/set_cartoon_boundles/</t>
  </si>
  <si>
    <t>set3_Sponge_Bob</t>
  </si>
  <si>
    <t>set3_tom_and_jerry1</t>
  </si>
  <si>
    <t>Термонаклейка набор Человек-Паук Майлс spider-man</t>
  </si>
  <si>
    <t>Термонаклейка набор Губка Спанч Боб Sponge Bob в1</t>
  </si>
  <si>
    <t>Термонаклейка набор Черепашки ниндзя TMNT в2</t>
  </si>
  <si>
    <t>Термонаклейка набор Том и Джерри Tom and Jerry в2</t>
  </si>
  <si>
    <t>OZN4096825283</t>
  </si>
  <si>
    <t>OZN4097357088</t>
  </si>
  <si>
    <t>OZN4097353439</t>
  </si>
  <si>
    <t>OZN4097355880</t>
  </si>
  <si>
    <t>OZN4097348153</t>
  </si>
  <si>
    <t>OZN4097353989</t>
  </si>
  <si>
    <t>OZN4097347477</t>
  </si>
  <si>
    <t>OZN4097343848</t>
  </si>
  <si>
    <t>OZN4097352568</t>
  </si>
  <si>
    <t>OZN4097353255</t>
  </si>
  <si>
    <t>OZN4097347811</t>
  </si>
  <si>
    <t>OZN4097352526</t>
  </si>
  <si>
    <t>OZN4097349517</t>
  </si>
  <si>
    <t>OZN4097352049</t>
  </si>
  <si>
    <t>OZN4097356231</t>
  </si>
  <si>
    <t>OZN4097353632</t>
  </si>
  <si>
    <t>OZN4097351736</t>
  </si>
  <si>
    <t>OZN4097352831</t>
  </si>
  <si>
    <t>OZN4097350929</t>
  </si>
  <si>
    <t>OZN4097352873</t>
  </si>
  <si>
    <t>OZN4097349384</t>
  </si>
  <si>
    <t>OZN4097348346</t>
  </si>
  <si>
    <t>OZN4097351211</t>
  </si>
  <si>
    <t>OZN4097349059</t>
  </si>
  <si>
    <t>OZN4097721358</t>
  </si>
  <si>
    <t>OZN4097346502</t>
  </si>
  <si>
    <t>OZN4097353477</t>
  </si>
  <si>
    <t>OZN4097352628</t>
  </si>
  <si>
    <t>OZN4097347345</t>
  </si>
  <si>
    <t>OZN4097347744</t>
  </si>
  <si>
    <t>OZN4097350337</t>
  </si>
  <si>
    <t>OZN4097350701</t>
  </si>
  <si>
    <t>OZN4097350527</t>
  </si>
  <si>
    <t>OZN4097353118</t>
  </si>
  <si>
    <t>OZN4097719204</t>
  </si>
  <si>
    <t>OZN4097713921</t>
  </si>
  <si>
    <t>OZN4097714541</t>
  </si>
  <si>
    <t>OZN4097356049</t>
  </si>
  <si>
    <t>OZN4097352717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</si>
</sst>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charset val="204"/>
    </font>
    <font>
      <sz val="10"/>
      <color rgb="FFFFFFFF"/>
      <name val="Arial"/>
      <family val="2"/>
      <charset val="204"/>
    </font>
    <font>
      <b/>
      <sz val="10"/>
      <color rgb="FF000000"/>
      <name val="Arial"/>
      <family val="2"/>
      <charset val="204"/>
    </font>
    <font>
      <sz val="10"/>
      <color rgb="FFCC0000"/>
      <name val="Arial"/>
      <family val="2"/>
      <charset val="204"/>
    </font>
    <font>
      <b/>
      <sz val="10"/>
      <color rgb="FFFFFFFF"/>
      <name val="Arial"/>
      <family val="2"/>
      <charset val="204"/>
    </font>
    <font>
      <i/>
      <sz val="10"/>
      <color rgb="FF808080"/>
      <name val="Arial"/>
      <family val="2"/>
      <charset val="204"/>
    </font>
    <font>
      <sz val="10"/>
      <color rgb="FF006600"/>
      <name val="Arial"/>
      <family val="2"/>
      <charset val="204"/>
    </font>
    <font>
      <sz val="18"/>
      <color rgb="FF000000"/>
      <name val="Arial"/>
      <family val="2"/>
      <charset val="204"/>
    </font>
    <font>
      <sz val="12"/>
      <color rgb="FF000000"/>
      <name val="Arial"/>
      <family val="2"/>
      <charset val="204"/>
    </font>
    <font>
      <b/>
      <sz val="24"/>
      <color rgb="FF000000"/>
      <name val="Arial"/>
      <family val="2"/>
      <charset val="204"/>
    </font>
    <font>
      <u/>
      <sz val="10"/>
      <color rgb="FF0000EE"/>
      <name val="Arial"/>
      <family val="2"/>
      <charset val="204"/>
    </font>
    <font>
      <sz val="10"/>
      <color rgb="FF996600"/>
      <name val="Arial"/>
      <family val="2"/>
      <charset val="204"/>
    </font>
    <font>
      <sz val="10"/>
      <color rgb="FF333333"/>
      <name val="Arial"/>
      <family val="2"/>
      <charset val="204"/>
    </font>
    <font>
      <sz val="10"/>
      <color rgb="FF000000"/>
      <name val="Arial"/>
      <family val="2"/>
      <charset val="204"/>
    </font>
    <font>
      <sz val="11"/>
      <color theme="1"/>
      <name val="Calibri"/>
      <family val="2"/>
      <charset val="1"/>
    </font>
    <font>
      <sz val="11"/>
      <color rgb="FF000000"/>
      <name val="Arial"/>
      <family val="2"/>
      <charset val="204"/>
    </font>
    <font>
      <sz val="11"/>
      <color rgb="FF000000"/>
      <name val="Calibri"/>
      <family val="2"/>
      <charset val="204"/>
    </font>
    <font>
      <b/>
      <sz val="11"/>
      <color rgb="FFFDFDFD"/>
      <name val="Arial"/>
      <family val="2"/>
      <charset val="204"/>
    </font>
    <font>
      <b/>
      <sz val="11"/>
      <color rgb="FFFDFDFD"/>
      <name val="Arial"/>
      <family val="2"/>
      <charset val="1"/>
    </font>
    <font>
      <sz val="10"/>
      <name val="Arial"/>
      <family val="2"/>
      <charset val="204"/>
    </font>
    <font>
      <u/>
      <sz val="10"/>
      <color rgb="FF0563C1"/>
      <name val="Arial"/>
      <family val="2"/>
      <charset val="204"/>
    </font>
    <font>
      <sz val="10"/>
      <color rgb="FF070707"/>
      <name val="Arial"/>
      <family val="2"/>
      <charset val="204"/>
    </font>
    <font>
      <sz val="9"/>
      <color rgb="FF000000"/>
      <name val="Calibri"/>
      <family val="2"/>
      <charset val="204"/>
    </font>
    <font>
      <sz val="9"/>
      <color rgb="FF000000"/>
      <name val="Calibri"/>
      <family val="2"/>
      <charset val="1"/>
    </font>
    <font>
      <sz val="8"/>
      <name val="Arial"/>
      <family val="2"/>
      <charset val="204"/>
    </font>
  </fonts>
  <fills count="28">
    <fill>
      <patternFill patternType="none"/>
    </fill>
    <fill>
      <patternFill patternType="gray125"/>
    </fill>
    <fill>
      <patternFill patternType="solid">
        <fgColor rgb="FF000000"/>
        <bgColor rgb="FF070707"/>
      </patternFill>
    </fill>
    <fill>
      <patternFill patternType="solid">
        <fgColor rgb="FF808080"/>
        <bgColor rgb="FF666699"/>
      </patternFill>
    </fill>
    <fill>
      <patternFill patternType="solid">
        <fgColor rgb="FFDDDDDD"/>
        <bgColor rgb="FFCCCCCC"/>
      </patternFill>
    </fill>
    <fill>
      <patternFill patternType="solid">
        <fgColor rgb="FFFFCCCC"/>
        <bgColor rgb="FFDDDDDD"/>
      </patternFill>
    </fill>
    <fill>
      <patternFill patternType="solid">
        <fgColor rgb="FFCC0000"/>
        <bgColor rgb="FFFF0000"/>
      </patternFill>
    </fill>
    <fill>
      <patternFill patternType="solid">
        <fgColor rgb="FFCCFFCC"/>
        <bgColor rgb="FFC5E0B4"/>
      </patternFill>
    </fill>
    <fill>
      <patternFill patternType="solid">
        <fgColor rgb="FFFFFFCC"/>
        <bgColor rgb="FFFDFDFD"/>
      </patternFill>
    </fill>
    <fill>
      <patternFill patternType="solid">
        <fgColor theme="9" tint="0.59978026673177287"/>
        <bgColor rgb="FFCCCCCC"/>
      </patternFill>
    </fill>
    <fill>
      <patternFill patternType="solid">
        <fgColor rgb="FF216BFF"/>
        <bgColor rgb="FF0563C1"/>
      </patternFill>
    </fill>
    <fill>
      <patternFill patternType="solid">
        <fgColor rgb="FF44A9E3"/>
        <bgColor rgb="FF5B9BD5"/>
      </patternFill>
    </fill>
    <fill>
      <patternFill patternType="solid">
        <fgColor rgb="FF5B9BD5"/>
        <bgColor rgb="FF44A9E3"/>
      </patternFill>
    </fill>
    <fill>
      <patternFill patternType="solid">
        <fgColor rgb="FFFFFF00"/>
        <bgColor rgb="FFFFFF00"/>
      </patternFill>
    </fill>
    <fill>
      <patternFill patternType="solid">
        <fgColor theme="6"/>
        <bgColor rgb="FFA9D18E"/>
      </patternFill>
    </fill>
    <fill>
      <patternFill patternType="solid">
        <fgColor theme="7"/>
        <bgColor rgb="FFFF9900"/>
      </patternFill>
    </fill>
    <fill>
      <patternFill patternType="solid">
        <fgColor theme="9"/>
        <bgColor rgb="FF808080"/>
      </patternFill>
    </fill>
    <fill>
      <patternFill patternType="solid">
        <fgColor theme="7" tint="0.39967040009765925"/>
        <bgColor rgb="FFFFCCCC"/>
      </patternFill>
    </fill>
    <fill>
      <patternFill patternType="solid">
        <fgColor rgb="FFCCCCCC"/>
        <bgColor rgb="FFBDD7EE"/>
      </patternFill>
    </fill>
    <fill>
      <patternFill patternType="solid">
        <fgColor theme="8" tint="0.59968871120334488"/>
        <bgColor rgb="FFCCCCCC"/>
      </patternFill>
    </fill>
    <fill>
      <patternFill patternType="solid">
        <fgColor theme="9" tint="0.39967040009765925"/>
        <bgColor rgb="FFC5E0B4"/>
      </patternFill>
    </fill>
    <fill>
      <patternFill patternType="solid">
        <fgColor rgb="FFFF0000"/>
        <bgColor rgb="FFCC0000"/>
      </patternFill>
    </fill>
    <fill>
      <patternFill patternType="solid">
        <fgColor rgb="FFFFFF00"/>
        <bgColor indexed="64"/>
      </patternFill>
    </fill>
    <fill>
      <patternFill patternType="solid">
        <fgColor rgb="FFFFFF00"/>
        <bgColor rgb="FF808080"/>
      </patternFill>
    </fill>
    <fill>
      <patternFill patternType="solid">
        <fgColor rgb="FFFFFF00"/>
        <bgColor rgb="FFCCCCCC"/>
      </patternFill>
    </fill>
    <fill>
      <patternFill patternType="solid">
        <fgColor theme="8"/>
        <bgColor indexed="64"/>
      </patternFill>
    </fill>
    <fill>
      <patternFill patternType="solid">
        <fgColor theme="8"/>
        <bgColor rgb="FF808080"/>
      </patternFill>
    </fill>
    <fill>
      <patternFill patternType="solid">
        <fgColor theme="8"/>
        <bgColor rgb="FFCCCCCC"/>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216BFF"/>
      </left>
      <right style="thin">
        <color rgb="FF216BFF"/>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0">
    <xf numFmtId="0" fontId="0" fillId="0" borderId="0"/>
    <xf numFmtId="0" fontId="20" fillId="0" borderId="0" applyBorder="0" applyProtection="0"/>
    <xf numFmtId="0" fontId="1" fillId="2" borderId="0" applyBorder="0" applyProtection="0"/>
    <xf numFmtId="0" fontId="2" fillId="0" borderId="0" applyBorder="0" applyProtection="0"/>
    <xf numFmtId="0" fontId="1" fillId="3" borderId="0" applyBorder="0" applyProtection="0"/>
    <xf numFmtId="0" fontId="2" fillId="4" borderId="0" applyBorder="0" applyProtection="0"/>
    <xf numFmtId="0" fontId="3" fillId="5" borderId="0" applyBorder="0" applyProtection="0"/>
    <xf numFmtId="0" fontId="4" fillId="6" borderId="0" applyBorder="0" applyProtection="0"/>
    <xf numFmtId="0" fontId="5" fillId="0" borderId="0" applyBorder="0" applyProtection="0"/>
    <xf numFmtId="0" fontId="6" fillId="7" borderId="0" applyBorder="0" applyProtection="0"/>
    <xf numFmtId="0" fontId="7" fillId="0" borderId="0" applyBorder="0" applyProtection="0"/>
    <xf numFmtId="0" fontId="8" fillId="0" borderId="0" applyBorder="0" applyProtection="0"/>
    <xf numFmtId="0" fontId="9" fillId="0" borderId="0" applyBorder="0" applyProtection="0"/>
    <xf numFmtId="0" fontId="10" fillId="0" borderId="0" applyBorder="0" applyProtection="0"/>
    <xf numFmtId="0" fontId="11" fillId="8" borderId="0" applyBorder="0" applyProtection="0"/>
    <xf numFmtId="0" fontId="12" fillId="8" borderId="1" applyProtection="0"/>
    <xf numFmtId="0" fontId="13" fillId="0" borderId="0" applyBorder="0" applyProtection="0"/>
    <xf numFmtId="0" fontId="13" fillId="0" borderId="0" applyBorder="0" applyProtection="0"/>
    <xf numFmtId="0" fontId="3" fillId="0" borderId="0" applyBorder="0" applyProtection="0"/>
    <xf numFmtId="0" fontId="14" fillId="0" borderId="0"/>
  </cellStyleXfs>
  <cellXfs count="70">
    <xf numFmtId="0" fontId="0" fillId="0" borderId="0" xfId="0"/>
    <xf numFmtId="0" fontId="0" fillId="0" borderId="0" xfId="0" applyAlignment="1" applyProtection="1"/>
    <xf numFmtId="0" fontId="0" fillId="9" borderId="0" xfId="0" applyFill="1" applyAlignment="1" applyProtection="1"/>
    <xf numFmtId="0" fontId="15" fillId="0" borderId="0" xfId="0" applyFont="1" applyAlignment="1" applyProtection="1"/>
    <xf numFmtId="0" fontId="16" fillId="0" borderId="0" xfId="0" applyFont="1" applyAlignment="1" applyProtection="1"/>
    <xf numFmtId="0" fontId="2" fillId="10" borderId="0" xfId="0" applyFont="1" applyFill="1" applyAlignment="1" applyProtection="1"/>
    <xf numFmtId="0" fontId="17" fillId="10" borderId="0" xfId="0" applyFont="1" applyFill="1" applyAlignment="1" applyProtection="1">
      <alignment horizontal="left" vertical="center" wrapText="1" indent="1"/>
    </xf>
    <xf numFmtId="0" fontId="17" fillId="11" borderId="0" xfId="0" applyFont="1" applyFill="1" applyAlignment="1" applyProtection="1">
      <alignment horizontal="left" vertical="center" wrapText="1" indent="1"/>
    </xf>
    <xf numFmtId="0" fontId="18" fillId="10" borderId="0" xfId="0" applyFont="1" applyFill="1" applyAlignment="1" applyProtection="1">
      <alignment horizontal="left" vertical="center" wrapText="1" indent="1"/>
    </xf>
    <xf numFmtId="0" fontId="0" fillId="0" borderId="2" xfId="0" applyFont="1" applyBorder="1" applyAlignment="1" applyProtection="1"/>
    <xf numFmtId="0" fontId="0" fillId="12" borderId="0" xfId="0" applyFont="1" applyFill="1" applyAlignment="1" applyProtection="1"/>
    <xf numFmtId="0" fontId="0" fillId="13" borderId="0" xfId="0" applyFont="1" applyFill="1" applyAlignment="1" applyProtection="1"/>
    <xf numFmtId="0" fontId="0" fillId="0" borderId="0" xfId="0" applyFont="1" applyAlignment="1" applyProtection="1"/>
    <xf numFmtId="0" fontId="0" fillId="13" borderId="2" xfId="0" applyFont="1" applyFill="1" applyBorder="1" applyAlignment="1" applyProtection="1"/>
    <xf numFmtId="0" fontId="0" fillId="9" borderId="0" xfId="0" applyFont="1" applyFill="1" applyAlignment="1" applyProtection="1"/>
    <xf numFmtId="0" fontId="0" fillId="14" borderId="0" xfId="0" applyFill="1" applyAlignment="1" applyProtection="1"/>
    <xf numFmtId="0" fontId="16" fillId="0" borderId="2" xfId="0" applyFont="1" applyBorder="1" applyAlignment="1" applyProtection="1"/>
    <xf numFmtId="0" fontId="0" fillId="0" borderId="0" xfId="0" applyFont="1" applyAlignment="1" applyProtection="1">
      <alignment wrapText="1"/>
    </xf>
    <xf numFmtId="0" fontId="13" fillId="0" borderId="0" xfId="0" applyFont="1" applyAlignment="1" applyProtection="1"/>
    <xf numFmtId="0" fontId="13" fillId="0" borderId="0" xfId="0" applyFont="1" applyAlignment="1" applyProtection="1">
      <alignment wrapText="1"/>
    </xf>
    <xf numFmtId="0" fontId="0" fillId="15" borderId="0" xfId="0" applyFill="1" applyAlignment="1" applyProtection="1"/>
    <xf numFmtId="0" fontId="0" fillId="16" borderId="0" xfId="0" applyFill="1" applyAlignment="1" applyProtection="1"/>
    <xf numFmtId="0" fontId="19" fillId="4" borderId="0" xfId="0" applyFont="1" applyFill="1" applyAlignment="1" applyProtection="1"/>
    <xf numFmtId="0" fontId="0" fillId="17" borderId="0" xfId="0" applyFill="1" applyAlignment="1" applyProtection="1"/>
    <xf numFmtId="0" fontId="13" fillId="4" borderId="0" xfId="0" applyFont="1" applyFill="1" applyAlignment="1" applyProtection="1"/>
    <xf numFmtId="0" fontId="16" fillId="18" borderId="2" xfId="0" applyFont="1" applyFill="1" applyBorder="1" applyAlignment="1" applyProtection="1"/>
    <xf numFmtId="0" fontId="16" fillId="13" borderId="2" xfId="0" applyFont="1" applyFill="1" applyBorder="1" applyAlignment="1" applyProtection="1"/>
    <xf numFmtId="0" fontId="0" fillId="12" borderId="0" xfId="0" applyFill="1" applyAlignment="1" applyProtection="1"/>
    <xf numFmtId="0" fontId="16" fillId="19" borderId="2" xfId="0" applyFont="1" applyFill="1" applyBorder="1" applyAlignment="1" applyProtection="1"/>
    <xf numFmtId="0" fontId="0" fillId="19" borderId="0" xfId="0" applyFont="1" applyFill="1" applyAlignment="1" applyProtection="1"/>
    <xf numFmtId="0" fontId="0" fillId="20" borderId="0" xfId="0" applyFill="1" applyAlignment="1" applyProtection="1"/>
    <xf numFmtId="0" fontId="16" fillId="19" borderId="0" xfId="0" applyFont="1" applyFill="1" applyAlignment="1" applyProtection="1"/>
    <xf numFmtId="0" fontId="13" fillId="19" borderId="0" xfId="0" applyFont="1" applyFill="1" applyAlignment="1" applyProtection="1"/>
    <xf numFmtId="0" fontId="20" fillId="19" borderId="0" xfId="1" applyFont="1" applyFill="1" applyBorder="1" applyAlignment="1" applyProtection="1"/>
    <xf numFmtId="0" fontId="16" fillId="13" borderId="0" xfId="0" applyFont="1" applyFill="1" applyAlignment="1" applyProtection="1"/>
    <xf numFmtId="0" fontId="16" fillId="16" borderId="3" xfId="0" applyFont="1" applyFill="1" applyBorder="1" applyAlignment="1" applyProtection="1"/>
    <xf numFmtId="0" fontId="13" fillId="16" borderId="3" xfId="0" applyFont="1" applyFill="1" applyBorder="1" applyAlignment="1" applyProtection="1">
      <alignment wrapText="1"/>
    </xf>
    <xf numFmtId="0" fontId="0" fillId="16" borderId="3" xfId="0" applyFont="1" applyFill="1" applyBorder="1" applyAlignment="1" applyProtection="1"/>
    <xf numFmtId="0" fontId="13" fillId="16" borderId="0" xfId="0" applyFont="1" applyFill="1" applyAlignment="1" applyProtection="1"/>
    <xf numFmtId="0" fontId="13" fillId="16" borderId="3" xfId="0" applyFont="1" applyFill="1" applyBorder="1" applyAlignment="1" applyProtection="1"/>
    <xf numFmtId="0" fontId="21" fillId="16" borderId="3" xfId="0" applyFont="1" applyFill="1" applyBorder="1" applyAlignment="1" applyProtection="1"/>
    <xf numFmtId="0" fontId="16" fillId="16" borderId="4" xfId="0" applyFont="1" applyFill="1" applyBorder="1" applyAlignment="1" applyProtection="1"/>
    <xf numFmtId="0" fontId="13" fillId="16" borderId="4" xfId="0" applyFont="1" applyFill="1" applyBorder="1" applyAlignment="1" applyProtection="1"/>
    <xf numFmtId="0" fontId="0" fillId="16" borderId="4" xfId="0" applyFont="1" applyFill="1" applyBorder="1" applyAlignment="1" applyProtection="1"/>
    <xf numFmtId="0" fontId="0" fillId="13" borderId="3" xfId="0" applyFont="1" applyFill="1" applyBorder="1" applyAlignment="1" applyProtection="1"/>
    <xf numFmtId="0" fontId="13" fillId="13" borderId="3" xfId="0" applyFont="1" applyFill="1" applyBorder="1" applyAlignment="1" applyProtection="1"/>
    <xf numFmtId="0" fontId="0" fillId="21" borderId="0" xfId="0" applyFill="1" applyAlignment="1" applyProtection="1"/>
    <xf numFmtId="0" fontId="16" fillId="13" borderId="3" xfId="0" applyFont="1" applyFill="1" applyBorder="1" applyAlignment="1" applyProtection="1"/>
    <xf numFmtId="0" fontId="13" fillId="13" borderId="0" xfId="0" applyFont="1" applyFill="1" applyAlignment="1" applyProtection="1"/>
    <xf numFmtId="0" fontId="16" fillId="13" borderId="5" xfId="0" applyFont="1" applyFill="1" applyBorder="1" applyAlignment="1" applyProtection="1"/>
    <xf numFmtId="0" fontId="16" fillId="16" borderId="0" xfId="0" applyFont="1" applyFill="1" applyAlignment="1" applyProtection="1"/>
    <xf numFmtId="0" fontId="0" fillId="16" borderId="0" xfId="0" applyFont="1" applyFill="1" applyBorder="1" applyAlignment="1" applyProtection="1"/>
    <xf numFmtId="0" fontId="0" fillId="16" borderId="0" xfId="0" applyFont="1" applyFill="1" applyAlignment="1" applyProtection="1"/>
    <xf numFmtId="0" fontId="0" fillId="16" borderId="5" xfId="0" applyFont="1" applyFill="1" applyBorder="1" applyAlignment="1" applyProtection="1"/>
    <xf numFmtId="0" fontId="13" fillId="16" borderId="5" xfId="0" applyFont="1" applyFill="1" applyBorder="1" applyAlignment="1" applyProtection="1"/>
    <xf numFmtId="0" fontId="13" fillId="0" borderId="2" xfId="0" applyFont="1" applyBorder="1" applyAlignment="1" applyProtection="1"/>
    <xf numFmtId="0" fontId="13" fillId="0" borderId="0" xfId="0" applyFont="1"/>
    <xf numFmtId="0" fontId="0" fillId="22" borderId="0" xfId="0" applyFill="1" applyAlignment="1" applyProtection="1"/>
    <xf numFmtId="0" fontId="0" fillId="23" borderId="0" xfId="0" applyFill="1" applyAlignment="1" applyProtection="1"/>
    <xf numFmtId="0" fontId="0" fillId="23" borderId="0" xfId="0" applyFont="1" applyFill="1" applyBorder="1" applyAlignment="1" applyProtection="1"/>
    <xf numFmtId="0" fontId="0" fillId="23" borderId="0" xfId="0" applyFont="1" applyFill="1" applyAlignment="1" applyProtection="1"/>
    <xf numFmtId="0" fontId="0" fillId="24" borderId="0" xfId="0" applyFont="1" applyFill="1" applyAlignment="1" applyProtection="1"/>
    <xf numFmtId="0" fontId="13" fillId="23" borderId="5" xfId="0" applyFont="1" applyFill="1" applyBorder="1" applyAlignment="1" applyProtection="1"/>
    <xf numFmtId="0" fontId="0" fillId="25" borderId="0" xfId="0" applyFill="1" applyAlignment="1" applyProtection="1"/>
    <xf numFmtId="0" fontId="0" fillId="26" borderId="0" xfId="0" applyFont="1" applyFill="1" applyBorder="1" applyAlignment="1" applyProtection="1"/>
    <xf numFmtId="0" fontId="0" fillId="26" borderId="0" xfId="0" applyFont="1" applyFill="1" applyAlignment="1" applyProtection="1"/>
    <xf numFmtId="0" fontId="13" fillId="26" borderId="5" xfId="0" applyFont="1" applyFill="1" applyBorder="1" applyAlignment="1" applyProtection="1"/>
    <xf numFmtId="0" fontId="0" fillId="26" borderId="0" xfId="0" applyFill="1" applyAlignment="1" applyProtection="1"/>
    <xf numFmtId="0" fontId="0" fillId="27" borderId="0" xfId="0" applyFont="1" applyFill="1" applyAlignment="1" applyProtection="1"/>
    <xf numFmtId="0" fontId="0" fillId="0" borderId="0" xfId="0" applyFill="1"/>
  </cellXfs>
  <cellStyles count="20">
    <cellStyle name="Accent 1 17" xfId="2" xr:uid="{00000000-0005-0000-0000-000006000000}"/>
    <cellStyle name="Accent 16" xfId="3" xr:uid="{00000000-0005-0000-0000-000007000000}"/>
    <cellStyle name="Accent 2 18" xfId="4" xr:uid="{00000000-0005-0000-0000-000008000000}"/>
    <cellStyle name="Accent 3 19" xfId="5" xr:uid="{00000000-0005-0000-0000-000009000000}"/>
    <cellStyle name="Bad 13" xfId="6" xr:uid="{00000000-0005-0000-0000-00000A000000}"/>
    <cellStyle name="Error 15" xfId="7" xr:uid="{00000000-0005-0000-0000-00000B000000}"/>
    <cellStyle name="Footnote 8" xfId="8" xr:uid="{00000000-0005-0000-0000-00000C000000}"/>
    <cellStyle name="Good 11" xfId="9" xr:uid="{00000000-0005-0000-0000-00000D000000}"/>
    <cellStyle name="Heading 1 4" xfId="10" xr:uid="{00000000-0005-0000-0000-00000E000000}"/>
    <cellStyle name="Heading 2 5" xfId="11" xr:uid="{00000000-0005-0000-0000-00000F000000}"/>
    <cellStyle name="Heading 3" xfId="12" xr:uid="{00000000-0005-0000-0000-000010000000}"/>
    <cellStyle name="Hyperlink 9" xfId="13" xr:uid="{00000000-0005-0000-0000-000011000000}"/>
    <cellStyle name="Neutral 12" xfId="14" xr:uid="{00000000-0005-0000-0000-000012000000}"/>
    <cellStyle name="Note 7" xfId="15" xr:uid="{00000000-0005-0000-0000-000013000000}"/>
    <cellStyle name="Status 10" xfId="16" xr:uid="{00000000-0005-0000-0000-000014000000}"/>
    <cellStyle name="Text 6" xfId="17" xr:uid="{00000000-0005-0000-0000-000015000000}"/>
    <cellStyle name="Warning 14" xfId="18" xr:uid="{00000000-0005-0000-0000-000016000000}"/>
    <cellStyle name="Гиперссылка" xfId="1" builtinId="8"/>
    <cellStyle name="Обычный" xfId="0" builtinId="0"/>
    <cellStyle name="Обычный 2" xfId="19" xr:uid="{00000000-0005-0000-0000-000017000000}"/>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CC0000"/>
      <rgbColor rgb="FF006600"/>
      <rgbColor rgb="FF000080"/>
      <rgbColor rgb="FF996600"/>
      <rgbColor rgb="FF800080"/>
      <rgbColor rgb="FF008080"/>
      <rgbColor rgb="FFCCCCCC"/>
      <rgbColor rgb="FF808080"/>
      <rgbColor rgb="FF5B9BD5"/>
      <rgbColor rgb="FF993366"/>
      <rgbColor rgb="FFFFFFCC"/>
      <rgbColor rgb="FFFDFDFD"/>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DDDDD"/>
      <rgbColor rgb="FFCCFFCC"/>
      <rgbColor rgb="FFFFD966"/>
      <rgbColor rgb="FFC5E0B4"/>
      <rgbColor rgb="FFFF99CC"/>
      <rgbColor rgb="FFCC99FF"/>
      <rgbColor rgb="FFFFCCCC"/>
      <rgbColor rgb="FF216BFF"/>
      <rgbColor rgb="FF44A9E3"/>
      <rgbColor rgb="FFA9D18E"/>
      <rgbColor rgb="FFFFC000"/>
      <rgbColor rgb="FFFF9900"/>
      <rgbColor rgb="FFFF6600"/>
      <rgbColor rgb="FF666699"/>
      <rgbColor rgb="FFA5A5A5"/>
      <rgbColor rgb="FF003366"/>
      <rgbColor rgb="FF70AD47"/>
      <rgbColor rgb="FF070707"/>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392097</xdr:colOff>
      <xdr:row>56</xdr:row>
      <xdr:rowOff>45000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6" name="CustomShape 1" hidden="1">
          <a:extLst>
            <a:ext uri="{FF2B5EF4-FFF2-40B4-BE49-F238E27FC236}">
              <a16:creationId xmlns:a16="http://schemas.microsoft.com/office/drawing/2014/main" id="{00000000-0008-0000-0000-000006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7" name="CustomShape 1" hidden="1">
          <a:extLst>
            <a:ext uri="{FF2B5EF4-FFF2-40B4-BE49-F238E27FC236}">
              <a16:creationId xmlns:a16="http://schemas.microsoft.com/office/drawing/2014/main" id="{00000000-0008-0000-0000-000007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8" name="CustomShape 1" hidden="1">
          <a:extLst>
            <a:ext uri="{FF2B5EF4-FFF2-40B4-BE49-F238E27FC236}">
              <a16:creationId xmlns:a16="http://schemas.microsoft.com/office/drawing/2014/main" id="{00000000-0008-0000-0000-000008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9" name="CustomShape 1" hidden="1">
          <a:extLst>
            <a:ext uri="{FF2B5EF4-FFF2-40B4-BE49-F238E27FC236}">
              <a16:creationId xmlns:a16="http://schemas.microsoft.com/office/drawing/2014/main" id="{00000000-0008-0000-0000-000009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10" name="CustomShape 1" hidden="1">
          <a:extLst>
            <a:ext uri="{FF2B5EF4-FFF2-40B4-BE49-F238E27FC236}">
              <a16:creationId xmlns:a16="http://schemas.microsoft.com/office/drawing/2014/main" id="{00000000-0008-0000-0000-00000A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11" name="CustomShape 1" hidden="1">
          <a:extLst>
            <a:ext uri="{FF2B5EF4-FFF2-40B4-BE49-F238E27FC236}">
              <a16:creationId xmlns:a16="http://schemas.microsoft.com/office/drawing/2014/main" id="{00000000-0008-0000-0000-00000B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12" name="CustomShape 1" hidden="1">
          <a:extLst>
            <a:ext uri="{FF2B5EF4-FFF2-40B4-BE49-F238E27FC236}">
              <a16:creationId xmlns:a16="http://schemas.microsoft.com/office/drawing/2014/main" id="{00000000-0008-0000-0000-00000C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13" name="CustomShape 1" hidden="1">
          <a:extLst>
            <a:ext uri="{FF2B5EF4-FFF2-40B4-BE49-F238E27FC236}">
              <a16:creationId xmlns:a16="http://schemas.microsoft.com/office/drawing/2014/main" id="{00000000-0008-0000-0000-00000D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14" name="CustomShape 1" hidden="1">
          <a:extLst>
            <a:ext uri="{FF2B5EF4-FFF2-40B4-BE49-F238E27FC236}">
              <a16:creationId xmlns:a16="http://schemas.microsoft.com/office/drawing/2014/main" id="{00000000-0008-0000-0000-00000E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8</xdr:col>
      <xdr:colOff>392097</xdr:colOff>
      <xdr:row>56</xdr:row>
      <xdr:rowOff>45000</xdr:rowOff>
    </xdr:to>
    <xdr:sp macro="" textlink="">
      <xdr:nvSpPr>
        <xdr:cNvPr id="15" name="CustomShape 1" hidden="1">
          <a:extLst>
            <a:ext uri="{FF2B5EF4-FFF2-40B4-BE49-F238E27FC236}">
              <a16:creationId xmlns:a16="http://schemas.microsoft.com/office/drawing/2014/main" id="{00000000-0008-0000-0000-00000F000000}"/>
            </a:ext>
          </a:extLst>
        </xdr:cNvPr>
        <xdr:cNvSpPr/>
      </xdr:nvSpPr>
      <xdr:spPr>
        <a:xfrm>
          <a:off x="0" y="0"/>
          <a:ext cx="19487880" cy="98017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16" name="_x005F_x0000_t202" hidden="1">
          <a:extLst>
            <a:ext uri="{FF2B5EF4-FFF2-40B4-BE49-F238E27FC236}">
              <a16:creationId xmlns:a16="http://schemas.microsoft.com/office/drawing/2014/main" id="{00000000-0008-0000-0000-000010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17" name="_x005F_x0000_t202" hidden="1">
          <a:extLst>
            <a:ext uri="{FF2B5EF4-FFF2-40B4-BE49-F238E27FC236}">
              <a16:creationId xmlns:a16="http://schemas.microsoft.com/office/drawing/2014/main" id="{00000000-0008-0000-0000-000011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18" name="_x005F_x0000_t202" hidden="1">
          <a:extLst>
            <a:ext uri="{FF2B5EF4-FFF2-40B4-BE49-F238E27FC236}">
              <a16:creationId xmlns:a16="http://schemas.microsoft.com/office/drawing/2014/main" id="{00000000-0008-0000-0000-000012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19" name="_x005F_x0000_t202" hidden="1">
          <a:extLst>
            <a:ext uri="{FF2B5EF4-FFF2-40B4-BE49-F238E27FC236}">
              <a16:creationId xmlns:a16="http://schemas.microsoft.com/office/drawing/2014/main" id="{00000000-0008-0000-0000-000013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0" name="_x005F_x0000_t202" hidden="1">
          <a:extLst>
            <a:ext uri="{FF2B5EF4-FFF2-40B4-BE49-F238E27FC236}">
              <a16:creationId xmlns:a16="http://schemas.microsoft.com/office/drawing/2014/main" id="{00000000-0008-0000-0000-000014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1" name="_x005F_x0000_t202" hidden="1">
          <a:extLst>
            <a:ext uri="{FF2B5EF4-FFF2-40B4-BE49-F238E27FC236}">
              <a16:creationId xmlns:a16="http://schemas.microsoft.com/office/drawing/2014/main" id="{00000000-0008-0000-0000-000015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2" name="_x005F_x0000_t202" hidden="1">
          <a:extLst>
            <a:ext uri="{FF2B5EF4-FFF2-40B4-BE49-F238E27FC236}">
              <a16:creationId xmlns:a16="http://schemas.microsoft.com/office/drawing/2014/main" id="{00000000-0008-0000-0000-000016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3" name="_x005F_x0000_t202" hidden="1">
          <a:extLst>
            <a:ext uri="{FF2B5EF4-FFF2-40B4-BE49-F238E27FC236}">
              <a16:creationId xmlns:a16="http://schemas.microsoft.com/office/drawing/2014/main" id="{00000000-0008-0000-0000-000017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4" name="_x005F_x0000_t202" hidden="1">
          <a:extLst>
            <a:ext uri="{FF2B5EF4-FFF2-40B4-BE49-F238E27FC236}">
              <a16:creationId xmlns:a16="http://schemas.microsoft.com/office/drawing/2014/main" id="{00000000-0008-0000-0000-000018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5" name="_x005F_x0000_t202" hidden="1">
          <a:extLst>
            <a:ext uri="{FF2B5EF4-FFF2-40B4-BE49-F238E27FC236}">
              <a16:creationId xmlns:a16="http://schemas.microsoft.com/office/drawing/2014/main" id="{00000000-0008-0000-0000-000019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6" name="_x005F_x0000_t202" hidden="1">
          <a:extLst>
            <a:ext uri="{FF2B5EF4-FFF2-40B4-BE49-F238E27FC236}">
              <a16:creationId xmlns:a16="http://schemas.microsoft.com/office/drawing/2014/main" id="{00000000-0008-0000-0000-00001A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7" name="_x005F_x0000_t202" hidden="1">
          <a:extLst>
            <a:ext uri="{FF2B5EF4-FFF2-40B4-BE49-F238E27FC236}">
              <a16:creationId xmlns:a16="http://schemas.microsoft.com/office/drawing/2014/main" id="{00000000-0008-0000-0000-00001B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8" name="_x005F_x0000_t202" hidden="1">
          <a:extLst>
            <a:ext uri="{FF2B5EF4-FFF2-40B4-BE49-F238E27FC236}">
              <a16:creationId xmlns:a16="http://schemas.microsoft.com/office/drawing/2014/main" id="{00000000-0008-0000-0000-00001C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3</xdr:col>
      <xdr:colOff>4205043</xdr:colOff>
      <xdr:row>56</xdr:row>
      <xdr:rowOff>45360</xdr:rowOff>
    </xdr:to>
    <xdr:sp macro="" textlink="">
      <xdr:nvSpPr>
        <xdr:cNvPr id="29" name="_x005F_x0000_t202" hidden="1">
          <a:extLst>
            <a:ext uri="{FF2B5EF4-FFF2-40B4-BE49-F238E27FC236}">
              <a16:creationId xmlns:a16="http://schemas.microsoft.com/office/drawing/2014/main" id="{00000000-0008-0000-0000-00001D000000}"/>
            </a:ext>
          </a:extLst>
        </xdr:cNvPr>
        <xdr:cNvSpPr/>
      </xdr:nvSpPr>
      <xdr:spPr>
        <a:xfrm>
          <a:off x="0" y="0"/>
          <a:ext cx="10653480" cy="98020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 name="AutoShape 28">
          <a:extLst>
            <a:ext uri="{FF2B5EF4-FFF2-40B4-BE49-F238E27FC236}">
              <a16:creationId xmlns:a16="http://schemas.microsoft.com/office/drawing/2014/main" id="{00000000-0008-0000-0000-00001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 name="AutoShape 26">
          <a:extLst>
            <a:ext uri="{FF2B5EF4-FFF2-40B4-BE49-F238E27FC236}">
              <a16:creationId xmlns:a16="http://schemas.microsoft.com/office/drawing/2014/main" id="{00000000-0008-0000-0000-00001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 name="AutoShape 24">
          <a:extLst>
            <a:ext uri="{FF2B5EF4-FFF2-40B4-BE49-F238E27FC236}">
              <a16:creationId xmlns:a16="http://schemas.microsoft.com/office/drawing/2014/main" id="{00000000-0008-0000-0000-00002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 name="AutoShape 22">
          <a:extLst>
            <a:ext uri="{FF2B5EF4-FFF2-40B4-BE49-F238E27FC236}">
              <a16:creationId xmlns:a16="http://schemas.microsoft.com/office/drawing/2014/main" id="{00000000-0008-0000-0000-00002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 name="AutoShape 20">
          <a:extLst>
            <a:ext uri="{FF2B5EF4-FFF2-40B4-BE49-F238E27FC236}">
              <a16:creationId xmlns:a16="http://schemas.microsoft.com/office/drawing/2014/main" id="{00000000-0008-0000-0000-00002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 name="AutoShape 18">
          <a:extLst>
            <a:ext uri="{FF2B5EF4-FFF2-40B4-BE49-F238E27FC236}">
              <a16:creationId xmlns:a16="http://schemas.microsoft.com/office/drawing/2014/main" id="{00000000-0008-0000-0000-00002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 name="AutoShape 16">
          <a:extLst>
            <a:ext uri="{FF2B5EF4-FFF2-40B4-BE49-F238E27FC236}">
              <a16:creationId xmlns:a16="http://schemas.microsoft.com/office/drawing/2014/main" id="{00000000-0008-0000-0000-00002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 name="AutoShape 14">
          <a:extLst>
            <a:ext uri="{FF2B5EF4-FFF2-40B4-BE49-F238E27FC236}">
              <a16:creationId xmlns:a16="http://schemas.microsoft.com/office/drawing/2014/main" id="{00000000-0008-0000-0000-00002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 name="AutoShape 12">
          <a:extLst>
            <a:ext uri="{FF2B5EF4-FFF2-40B4-BE49-F238E27FC236}">
              <a16:creationId xmlns:a16="http://schemas.microsoft.com/office/drawing/2014/main" id="{00000000-0008-0000-0000-00002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 name="AutoShape 10">
          <a:extLst>
            <a:ext uri="{FF2B5EF4-FFF2-40B4-BE49-F238E27FC236}">
              <a16:creationId xmlns:a16="http://schemas.microsoft.com/office/drawing/2014/main" id="{00000000-0008-0000-0000-00002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 name="AutoShape 8">
          <a:extLst>
            <a:ext uri="{FF2B5EF4-FFF2-40B4-BE49-F238E27FC236}">
              <a16:creationId xmlns:a16="http://schemas.microsoft.com/office/drawing/2014/main" id="{00000000-0008-0000-0000-00002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 name="AutoShape 6">
          <a:extLst>
            <a:ext uri="{FF2B5EF4-FFF2-40B4-BE49-F238E27FC236}">
              <a16:creationId xmlns:a16="http://schemas.microsoft.com/office/drawing/2014/main" id="{00000000-0008-0000-0000-00002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 name="AutoShape 4">
          <a:extLst>
            <a:ext uri="{FF2B5EF4-FFF2-40B4-BE49-F238E27FC236}">
              <a16:creationId xmlns:a16="http://schemas.microsoft.com/office/drawing/2014/main" id="{00000000-0008-0000-0000-00002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 name="AutoShape 2">
          <a:extLst>
            <a:ext uri="{FF2B5EF4-FFF2-40B4-BE49-F238E27FC236}">
              <a16:creationId xmlns:a16="http://schemas.microsoft.com/office/drawing/2014/main" id="{00000000-0008-0000-0000-00002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 name="AutoShape 28">
          <a:extLst>
            <a:ext uri="{FF2B5EF4-FFF2-40B4-BE49-F238E27FC236}">
              <a16:creationId xmlns:a16="http://schemas.microsoft.com/office/drawing/2014/main" id="{00000000-0008-0000-0000-00002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 name="AutoShape 26">
          <a:extLst>
            <a:ext uri="{FF2B5EF4-FFF2-40B4-BE49-F238E27FC236}">
              <a16:creationId xmlns:a16="http://schemas.microsoft.com/office/drawing/2014/main" id="{00000000-0008-0000-0000-00002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 name="AutoShape 24">
          <a:extLst>
            <a:ext uri="{FF2B5EF4-FFF2-40B4-BE49-F238E27FC236}">
              <a16:creationId xmlns:a16="http://schemas.microsoft.com/office/drawing/2014/main" id="{00000000-0008-0000-0000-00002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 name="AutoShape 22">
          <a:extLst>
            <a:ext uri="{FF2B5EF4-FFF2-40B4-BE49-F238E27FC236}">
              <a16:creationId xmlns:a16="http://schemas.microsoft.com/office/drawing/2014/main" id="{00000000-0008-0000-0000-00002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 name="AutoShape 20">
          <a:extLst>
            <a:ext uri="{FF2B5EF4-FFF2-40B4-BE49-F238E27FC236}">
              <a16:creationId xmlns:a16="http://schemas.microsoft.com/office/drawing/2014/main" id="{00000000-0008-0000-0000-00003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 name="AutoShape 18">
          <a:extLst>
            <a:ext uri="{FF2B5EF4-FFF2-40B4-BE49-F238E27FC236}">
              <a16:creationId xmlns:a16="http://schemas.microsoft.com/office/drawing/2014/main" id="{00000000-0008-0000-0000-00003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 name="AutoShape 16">
          <a:extLst>
            <a:ext uri="{FF2B5EF4-FFF2-40B4-BE49-F238E27FC236}">
              <a16:creationId xmlns:a16="http://schemas.microsoft.com/office/drawing/2014/main" id="{00000000-0008-0000-0000-00003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 name="AutoShape 14">
          <a:extLst>
            <a:ext uri="{FF2B5EF4-FFF2-40B4-BE49-F238E27FC236}">
              <a16:creationId xmlns:a16="http://schemas.microsoft.com/office/drawing/2014/main" id="{00000000-0008-0000-0000-00003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 name="AutoShape 12">
          <a:extLst>
            <a:ext uri="{FF2B5EF4-FFF2-40B4-BE49-F238E27FC236}">
              <a16:creationId xmlns:a16="http://schemas.microsoft.com/office/drawing/2014/main" id="{00000000-0008-0000-0000-00003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 name="AutoShape 10">
          <a:extLst>
            <a:ext uri="{FF2B5EF4-FFF2-40B4-BE49-F238E27FC236}">
              <a16:creationId xmlns:a16="http://schemas.microsoft.com/office/drawing/2014/main" id="{00000000-0008-0000-0000-00003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 name="AutoShape 8">
          <a:extLst>
            <a:ext uri="{FF2B5EF4-FFF2-40B4-BE49-F238E27FC236}">
              <a16:creationId xmlns:a16="http://schemas.microsoft.com/office/drawing/2014/main" id="{00000000-0008-0000-0000-00003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 name="AutoShape 6">
          <a:extLst>
            <a:ext uri="{FF2B5EF4-FFF2-40B4-BE49-F238E27FC236}">
              <a16:creationId xmlns:a16="http://schemas.microsoft.com/office/drawing/2014/main" id="{00000000-0008-0000-0000-00003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 name="AutoShape 4">
          <a:extLst>
            <a:ext uri="{FF2B5EF4-FFF2-40B4-BE49-F238E27FC236}">
              <a16:creationId xmlns:a16="http://schemas.microsoft.com/office/drawing/2014/main" id="{00000000-0008-0000-0000-00003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 name="AutoShape 2">
          <a:extLst>
            <a:ext uri="{FF2B5EF4-FFF2-40B4-BE49-F238E27FC236}">
              <a16:creationId xmlns:a16="http://schemas.microsoft.com/office/drawing/2014/main" id="{00000000-0008-0000-0000-00003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 name="AutoShape 28">
          <a:extLst>
            <a:ext uri="{FF2B5EF4-FFF2-40B4-BE49-F238E27FC236}">
              <a16:creationId xmlns:a16="http://schemas.microsoft.com/office/drawing/2014/main" id="{00000000-0008-0000-0000-00003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 name="AutoShape 26">
          <a:extLst>
            <a:ext uri="{FF2B5EF4-FFF2-40B4-BE49-F238E27FC236}">
              <a16:creationId xmlns:a16="http://schemas.microsoft.com/office/drawing/2014/main" id="{00000000-0008-0000-0000-00003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 name="AutoShape 24">
          <a:extLst>
            <a:ext uri="{FF2B5EF4-FFF2-40B4-BE49-F238E27FC236}">
              <a16:creationId xmlns:a16="http://schemas.microsoft.com/office/drawing/2014/main" id="{00000000-0008-0000-0000-00003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 name="AutoShape 22">
          <a:extLst>
            <a:ext uri="{FF2B5EF4-FFF2-40B4-BE49-F238E27FC236}">
              <a16:creationId xmlns:a16="http://schemas.microsoft.com/office/drawing/2014/main" id="{00000000-0008-0000-0000-00003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 name="AutoShape 20">
          <a:extLst>
            <a:ext uri="{FF2B5EF4-FFF2-40B4-BE49-F238E27FC236}">
              <a16:creationId xmlns:a16="http://schemas.microsoft.com/office/drawing/2014/main" id="{00000000-0008-0000-0000-00003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3" name="AutoShape 18">
          <a:extLst>
            <a:ext uri="{FF2B5EF4-FFF2-40B4-BE49-F238E27FC236}">
              <a16:creationId xmlns:a16="http://schemas.microsoft.com/office/drawing/2014/main" id="{00000000-0008-0000-0000-00003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4" name="AutoShape 16">
          <a:extLst>
            <a:ext uri="{FF2B5EF4-FFF2-40B4-BE49-F238E27FC236}">
              <a16:creationId xmlns:a16="http://schemas.microsoft.com/office/drawing/2014/main" id="{00000000-0008-0000-0000-00004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5" name="AutoShape 14">
          <a:extLst>
            <a:ext uri="{FF2B5EF4-FFF2-40B4-BE49-F238E27FC236}">
              <a16:creationId xmlns:a16="http://schemas.microsoft.com/office/drawing/2014/main" id="{00000000-0008-0000-0000-00004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6" name="AutoShape 12">
          <a:extLst>
            <a:ext uri="{FF2B5EF4-FFF2-40B4-BE49-F238E27FC236}">
              <a16:creationId xmlns:a16="http://schemas.microsoft.com/office/drawing/2014/main" id="{00000000-0008-0000-0000-00004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7" name="AutoShape 10">
          <a:extLst>
            <a:ext uri="{FF2B5EF4-FFF2-40B4-BE49-F238E27FC236}">
              <a16:creationId xmlns:a16="http://schemas.microsoft.com/office/drawing/2014/main" id="{00000000-0008-0000-0000-00004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8" name="AutoShape 8">
          <a:extLst>
            <a:ext uri="{FF2B5EF4-FFF2-40B4-BE49-F238E27FC236}">
              <a16:creationId xmlns:a16="http://schemas.microsoft.com/office/drawing/2014/main" id="{00000000-0008-0000-0000-00004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9" name="AutoShape 6">
          <a:extLst>
            <a:ext uri="{FF2B5EF4-FFF2-40B4-BE49-F238E27FC236}">
              <a16:creationId xmlns:a16="http://schemas.microsoft.com/office/drawing/2014/main" id="{00000000-0008-0000-0000-00004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0" name="AutoShape 4">
          <a:extLst>
            <a:ext uri="{FF2B5EF4-FFF2-40B4-BE49-F238E27FC236}">
              <a16:creationId xmlns:a16="http://schemas.microsoft.com/office/drawing/2014/main" id="{00000000-0008-0000-0000-00004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1" name="AutoShape 2">
          <a:extLst>
            <a:ext uri="{FF2B5EF4-FFF2-40B4-BE49-F238E27FC236}">
              <a16:creationId xmlns:a16="http://schemas.microsoft.com/office/drawing/2014/main" id="{00000000-0008-0000-0000-00004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2" name="AutoShape 28">
          <a:extLst>
            <a:ext uri="{FF2B5EF4-FFF2-40B4-BE49-F238E27FC236}">
              <a16:creationId xmlns:a16="http://schemas.microsoft.com/office/drawing/2014/main" id="{00000000-0008-0000-0000-00004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3" name="AutoShape 26">
          <a:extLst>
            <a:ext uri="{FF2B5EF4-FFF2-40B4-BE49-F238E27FC236}">
              <a16:creationId xmlns:a16="http://schemas.microsoft.com/office/drawing/2014/main" id="{00000000-0008-0000-0000-00004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4" name="AutoShape 24">
          <a:extLst>
            <a:ext uri="{FF2B5EF4-FFF2-40B4-BE49-F238E27FC236}">
              <a16:creationId xmlns:a16="http://schemas.microsoft.com/office/drawing/2014/main" id="{00000000-0008-0000-0000-00004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5" name="AutoShape 22">
          <a:extLst>
            <a:ext uri="{FF2B5EF4-FFF2-40B4-BE49-F238E27FC236}">
              <a16:creationId xmlns:a16="http://schemas.microsoft.com/office/drawing/2014/main" id="{00000000-0008-0000-0000-00004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6" name="AutoShape 20">
          <a:extLst>
            <a:ext uri="{FF2B5EF4-FFF2-40B4-BE49-F238E27FC236}">
              <a16:creationId xmlns:a16="http://schemas.microsoft.com/office/drawing/2014/main" id="{00000000-0008-0000-0000-00004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7" name="AutoShape 18">
          <a:extLst>
            <a:ext uri="{FF2B5EF4-FFF2-40B4-BE49-F238E27FC236}">
              <a16:creationId xmlns:a16="http://schemas.microsoft.com/office/drawing/2014/main" id="{00000000-0008-0000-0000-00004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8" name="AutoShape 16">
          <a:extLst>
            <a:ext uri="{FF2B5EF4-FFF2-40B4-BE49-F238E27FC236}">
              <a16:creationId xmlns:a16="http://schemas.microsoft.com/office/drawing/2014/main" id="{00000000-0008-0000-0000-00004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79" name="AutoShape 14">
          <a:extLst>
            <a:ext uri="{FF2B5EF4-FFF2-40B4-BE49-F238E27FC236}">
              <a16:creationId xmlns:a16="http://schemas.microsoft.com/office/drawing/2014/main" id="{00000000-0008-0000-0000-00004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0" name="AutoShape 12">
          <a:extLst>
            <a:ext uri="{FF2B5EF4-FFF2-40B4-BE49-F238E27FC236}">
              <a16:creationId xmlns:a16="http://schemas.microsoft.com/office/drawing/2014/main" id="{00000000-0008-0000-0000-00005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1" name="AutoShape 10">
          <a:extLst>
            <a:ext uri="{FF2B5EF4-FFF2-40B4-BE49-F238E27FC236}">
              <a16:creationId xmlns:a16="http://schemas.microsoft.com/office/drawing/2014/main" id="{00000000-0008-0000-0000-00005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2" name="AutoShape 8">
          <a:extLst>
            <a:ext uri="{FF2B5EF4-FFF2-40B4-BE49-F238E27FC236}">
              <a16:creationId xmlns:a16="http://schemas.microsoft.com/office/drawing/2014/main" id="{00000000-0008-0000-0000-00005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3" name="AutoShape 6">
          <a:extLst>
            <a:ext uri="{FF2B5EF4-FFF2-40B4-BE49-F238E27FC236}">
              <a16:creationId xmlns:a16="http://schemas.microsoft.com/office/drawing/2014/main" id="{00000000-0008-0000-0000-00005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4" name="AutoShape 4">
          <a:extLst>
            <a:ext uri="{FF2B5EF4-FFF2-40B4-BE49-F238E27FC236}">
              <a16:creationId xmlns:a16="http://schemas.microsoft.com/office/drawing/2014/main" id="{00000000-0008-0000-0000-00005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5" name="AutoShape 2">
          <a:extLst>
            <a:ext uri="{FF2B5EF4-FFF2-40B4-BE49-F238E27FC236}">
              <a16:creationId xmlns:a16="http://schemas.microsoft.com/office/drawing/2014/main" id="{00000000-0008-0000-0000-00005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6" name="AutoShape 28">
          <a:extLst>
            <a:ext uri="{FF2B5EF4-FFF2-40B4-BE49-F238E27FC236}">
              <a16:creationId xmlns:a16="http://schemas.microsoft.com/office/drawing/2014/main" id="{00000000-0008-0000-0000-00005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7" name="AutoShape 26">
          <a:extLst>
            <a:ext uri="{FF2B5EF4-FFF2-40B4-BE49-F238E27FC236}">
              <a16:creationId xmlns:a16="http://schemas.microsoft.com/office/drawing/2014/main" id="{00000000-0008-0000-0000-00005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8" name="AutoShape 24">
          <a:extLst>
            <a:ext uri="{FF2B5EF4-FFF2-40B4-BE49-F238E27FC236}">
              <a16:creationId xmlns:a16="http://schemas.microsoft.com/office/drawing/2014/main" id="{00000000-0008-0000-0000-00005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89" name="AutoShape 22">
          <a:extLst>
            <a:ext uri="{FF2B5EF4-FFF2-40B4-BE49-F238E27FC236}">
              <a16:creationId xmlns:a16="http://schemas.microsoft.com/office/drawing/2014/main" id="{00000000-0008-0000-0000-00005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0" name="AutoShape 20">
          <a:extLst>
            <a:ext uri="{FF2B5EF4-FFF2-40B4-BE49-F238E27FC236}">
              <a16:creationId xmlns:a16="http://schemas.microsoft.com/office/drawing/2014/main" id="{00000000-0008-0000-0000-00005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1" name="AutoShape 18">
          <a:extLst>
            <a:ext uri="{FF2B5EF4-FFF2-40B4-BE49-F238E27FC236}">
              <a16:creationId xmlns:a16="http://schemas.microsoft.com/office/drawing/2014/main" id="{00000000-0008-0000-0000-00005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2" name="AutoShape 16">
          <a:extLst>
            <a:ext uri="{FF2B5EF4-FFF2-40B4-BE49-F238E27FC236}">
              <a16:creationId xmlns:a16="http://schemas.microsoft.com/office/drawing/2014/main" id="{00000000-0008-0000-0000-00005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3" name="AutoShape 14">
          <a:extLst>
            <a:ext uri="{FF2B5EF4-FFF2-40B4-BE49-F238E27FC236}">
              <a16:creationId xmlns:a16="http://schemas.microsoft.com/office/drawing/2014/main" id="{00000000-0008-0000-0000-00005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4" name="AutoShape 12">
          <a:extLst>
            <a:ext uri="{FF2B5EF4-FFF2-40B4-BE49-F238E27FC236}">
              <a16:creationId xmlns:a16="http://schemas.microsoft.com/office/drawing/2014/main" id="{00000000-0008-0000-0000-00005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5" name="AutoShape 10">
          <a:extLst>
            <a:ext uri="{FF2B5EF4-FFF2-40B4-BE49-F238E27FC236}">
              <a16:creationId xmlns:a16="http://schemas.microsoft.com/office/drawing/2014/main" id="{00000000-0008-0000-0000-00005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6" name="AutoShape 8">
          <a:extLst>
            <a:ext uri="{FF2B5EF4-FFF2-40B4-BE49-F238E27FC236}">
              <a16:creationId xmlns:a16="http://schemas.microsoft.com/office/drawing/2014/main" id="{00000000-0008-0000-0000-00006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7" name="AutoShape 6">
          <a:extLst>
            <a:ext uri="{FF2B5EF4-FFF2-40B4-BE49-F238E27FC236}">
              <a16:creationId xmlns:a16="http://schemas.microsoft.com/office/drawing/2014/main" id="{00000000-0008-0000-0000-00006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8" name="AutoShape 4">
          <a:extLst>
            <a:ext uri="{FF2B5EF4-FFF2-40B4-BE49-F238E27FC236}">
              <a16:creationId xmlns:a16="http://schemas.microsoft.com/office/drawing/2014/main" id="{00000000-0008-0000-0000-00006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99" name="AutoShape 2">
          <a:extLst>
            <a:ext uri="{FF2B5EF4-FFF2-40B4-BE49-F238E27FC236}">
              <a16:creationId xmlns:a16="http://schemas.microsoft.com/office/drawing/2014/main" id="{00000000-0008-0000-0000-00006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0" name="AutoShape 28">
          <a:extLst>
            <a:ext uri="{FF2B5EF4-FFF2-40B4-BE49-F238E27FC236}">
              <a16:creationId xmlns:a16="http://schemas.microsoft.com/office/drawing/2014/main" id="{00000000-0008-0000-0000-00006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1" name="AutoShape 26">
          <a:extLst>
            <a:ext uri="{FF2B5EF4-FFF2-40B4-BE49-F238E27FC236}">
              <a16:creationId xmlns:a16="http://schemas.microsoft.com/office/drawing/2014/main" id="{00000000-0008-0000-0000-00006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2" name="AutoShape 24">
          <a:extLst>
            <a:ext uri="{FF2B5EF4-FFF2-40B4-BE49-F238E27FC236}">
              <a16:creationId xmlns:a16="http://schemas.microsoft.com/office/drawing/2014/main" id="{00000000-0008-0000-0000-00006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3" name="AutoShape 22">
          <a:extLst>
            <a:ext uri="{FF2B5EF4-FFF2-40B4-BE49-F238E27FC236}">
              <a16:creationId xmlns:a16="http://schemas.microsoft.com/office/drawing/2014/main" id="{00000000-0008-0000-0000-00006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4" name="AutoShape 20">
          <a:extLst>
            <a:ext uri="{FF2B5EF4-FFF2-40B4-BE49-F238E27FC236}">
              <a16:creationId xmlns:a16="http://schemas.microsoft.com/office/drawing/2014/main" id="{00000000-0008-0000-0000-00006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5" name="AutoShape 18">
          <a:extLst>
            <a:ext uri="{FF2B5EF4-FFF2-40B4-BE49-F238E27FC236}">
              <a16:creationId xmlns:a16="http://schemas.microsoft.com/office/drawing/2014/main" id="{00000000-0008-0000-0000-00006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6" name="AutoShape 16">
          <a:extLst>
            <a:ext uri="{FF2B5EF4-FFF2-40B4-BE49-F238E27FC236}">
              <a16:creationId xmlns:a16="http://schemas.microsoft.com/office/drawing/2014/main" id="{00000000-0008-0000-0000-00006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7" name="AutoShape 14">
          <a:extLst>
            <a:ext uri="{FF2B5EF4-FFF2-40B4-BE49-F238E27FC236}">
              <a16:creationId xmlns:a16="http://schemas.microsoft.com/office/drawing/2014/main" id="{00000000-0008-0000-0000-00006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8" name="AutoShape 12">
          <a:extLst>
            <a:ext uri="{FF2B5EF4-FFF2-40B4-BE49-F238E27FC236}">
              <a16:creationId xmlns:a16="http://schemas.microsoft.com/office/drawing/2014/main" id="{00000000-0008-0000-0000-00006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09" name="AutoShape 10">
          <a:extLst>
            <a:ext uri="{FF2B5EF4-FFF2-40B4-BE49-F238E27FC236}">
              <a16:creationId xmlns:a16="http://schemas.microsoft.com/office/drawing/2014/main" id="{00000000-0008-0000-0000-00006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0" name="AutoShape 8">
          <a:extLst>
            <a:ext uri="{FF2B5EF4-FFF2-40B4-BE49-F238E27FC236}">
              <a16:creationId xmlns:a16="http://schemas.microsoft.com/office/drawing/2014/main" id="{00000000-0008-0000-0000-00006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1" name="AutoShape 4">
          <a:extLst>
            <a:ext uri="{FF2B5EF4-FFF2-40B4-BE49-F238E27FC236}">
              <a16:creationId xmlns:a16="http://schemas.microsoft.com/office/drawing/2014/main" id="{00000000-0008-0000-0000-00006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2" name="AutoShape 2">
          <a:extLst>
            <a:ext uri="{FF2B5EF4-FFF2-40B4-BE49-F238E27FC236}">
              <a16:creationId xmlns:a16="http://schemas.microsoft.com/office/drawing/2014/main" id="{00000000-0008-0000-0000-00007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3" name="AutoShape 28">
          <a:extLst>
            <a:ext uri="{FF2B5EF4-FFF2-40B4-BE49-F238E27FC236}">
              <a16:creationId xmlns:a16="http://schemas.microsoft.com/office/drawing/2014/main" id="{00000000-0008-0000-0000-00007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4" name="AutoShape 26">
          <a:extLst>
            <a:ext uri="{FF2B5EF4-FFF2-40B4-BE49-F238E27FC236}">
              <a16:creationId xmlns:a16="http://schemas.microsoft.com/office/drawing/2014/main" id="{00000000-0008-0000-0000-00007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5" name="AutoShape 24">
          <a:extLst>
            <a:ext uri="{FF2B5EF4-FFF2-40B4-BE49-F238E27FC236}">
              <a16:creationId xmlns:a16="http://schemas.microsoft.com/office/drawing/2014/main" id="{00000000-0008-0000-0000-00007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6" name="AutoShape 22">
          <a:extLst>
            <a:ext uri="{FF2B5EF4-FFF2-40B4-BE49-F238E27FC236}">
              <a16:creationId xmlns:a16="http://schemas.microsoft.com/office/drawing/2014/main" id="{00000000-0008-0000-0000-00007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7" name="AutoShape 20">
          <a:extLst>
            <a:ext uri="{FF2B5EF4-FFF2-40B4-BE49-F238E27FC236}">
              <a16:creationId xmlns:a16="http://schemas.microsoft.com/office/drawing/2014/main" id="{00000000-0008-0000-0000-00007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8" name="AutoShape 18">
          <a:extLst>
            <a:ext uri="{FF2B5EF4-FFF2-40B4-BE49-F238E27FC236}">
              <a16:creationId xmlns:a16="http://schemas.microsoft.com/office/drawing/2014/main" id="{00000000-0008-0000-0000-00007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19" name="AutoShape 16">
          <a:extLst>
            <a:ext uri="{FF2B5EF4-FFF2-40B4-BE49-F238E27FC236}">
              <a16:creationId xmlns:a16="http://schemas.microsoft.com/office/drawing/2014/main" id="{00000000-0008-0000-0000-00007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0" name="AutoShape 14">
          <a:extLst>
            <a:ext uri="{FF2B5EF4-FFF2-40B4-BE49-F238E27FC236}">
              <a16:creationId xmlns:a16="http://schemas.microsoft.com/office/drawing/2014/main" id="{00000000-0008-0000-0000-00007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1" name="AutoShape 12">
          <a:extLst>
            <a:ext uri="{FF2B5EF4-FFF2-40B4-BE49-F238E27FC236}">
              <a16:creationId xmlns:a16="http://schemas.microsoft.com/office/drawing/2014/main" id="{00000000-0008-0000-0000-00007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2" name="AutoShape 10">
          <a:extLst>
            <a:ext uri="{FF2B5EF4-FFF2-40B4-BE49-F238E27FC236}">
              <a16:creationId xmlns:a16="http://schemas.microsoft.com/office/drawing/2014/main" id="{00000000-0008-0000-0000-00007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3" name="AutoShape 8">
          <a:extLst>
            <a:ext uri="{FF2B5EF4-FFF2-40B4-BE49-F238E27FC236}">
              <a16:creationId xmlns:a16="http://schemas.microsoft.com/office/drawing/2014/main" id="{00000000-0008-0000-0000-00007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4" name="AutoShape 4">
          <a:extLst>
            <a:ext uri="{FF2B5EF4-FFF2-40B4-BE49-F238E27FC236}">
              <a16:creationId xmlns:a16="http://schemas.microsoft.com/office/drawing/2014/main" id="{00000000-0008-0000-0000-00007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5" name="AutoShape 2">
          <a:extLst>
            <a:ext uri="{FF2B5EF4-FFF2-40B4-BE49-F238E27FC236}">
              <a16:creationId xmlns:a16="http://schemas.microsoft.com/office/drawing/2014/main" id="{00000000-0008-0000-0000-00007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6" name="AutoShape 28">
          <a:extLst>
            <a:ext uri="{FF2B5EF4-FFF2-40B4-BE49-F238E27FC236}">
              <a16:creationId xmlns:a16="http://schemas.microsoft.com/office/drawing/2014/main" id="{00000000-0008-0000-0000-00007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7" name="AutoShape 26">
          <a:extLst>
            <a:ext uri="{FF2B5EF4-FFF2-40B4-BE49-F238E27FC236}">
              <a16:creationId xmlns:a16="http://schemas.microsoft.com/office/drawing/2014/main" id="{00000000-0008-0000-0000-00007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8" name="AutoShape 24">
          <a:extLst>
            <a:ext uri="{FF2B5EF4-FFF2-40B4-BE49-F238E27FC236}">
              <a16:creationId xmlns:a16="http://schemas.microsoft.com/office/drawing/2014/main" id="{00000000-0008-0000-0000-00008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29" name="AutoShape 22">
          <a:extLst>
            <a:ext uri="{FF2B5EF4-FFF2-40B4-BE49-F238E27FC236}">
              <a16:creationId xmlns:a16="http://schemas.microsoft.com/office/drawing/2014/main" id="{00000000-0008-0000-0000-00008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0" name="AutoShape 20">
          <a:extLst>
            <a:ext uri="{FF2B5EF4-FFF2-40B4-BE49-F238E27FC236}">
              <a16:creationId xmlns:a16="http://schemas.microsoft.com/office/drawing/2014/main" id="{00000000-0008-0000-0000-00008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1" name="AutoShape 18">
          <a:extLst>
            <a:ext uri="{FF2B5EF4-FFF2-40B4-BE49-F238E27FC236}">
              <a16:creationId xmlns:a16="http://schemas.microsoft.com/office/drawing/2014/main" id="{00000000-0008-0000-0000-00008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2" name="AutoShape 16">
          <a:extLst>
            <a:ext uri="{FF2B5EF4-FFF2-40B4-BE49-F238E27FC236}">
              <a16:creationId xmlns:a16="http://schemas.microsoft.com/office/drawing/2014/main" id="{00000000-0008-0000-0000-00008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3" name="AutoShape 14">
          <a:extLst>
            <a:ext uri="{FF2B5EF4-FFF2-40B4-BE49-F238E27FC236}">
              <a16:creationId xmlns:a16="http://schemas.microsoft.com/office/drawing/2014/main" id="{00000000-0008-0000-0000-00008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4" name="AutoShape 12">
          <a:extLst>
            <a:ext uri="{FF2B5EF4-FFF2-40B4-BE49-F238E27FC236}">
              <a16:creationId xmlns:a16="http://schemas.microsoft.com/office/drawing/2014/main" id="{00000000-0008-0000-0000-00008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5" name="AutoShape 10">
          <a:extLst>
            <a:ext uri="{FF2B5EF4-FFF2-40B4-BE49-F238E27FC236}">
              <a16:creationId xmlns:a16="http://schemas.microsoft.com/office/drawing/2014/main" id="{00000000-0008-0000-0000-00008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6" name="AutoShape 8">
          <a:extLst>
            <a:ext uri="{FF2B5EF4-FFF2-40B4-BE49-F238E27FC236}">
              <a16:creationId xmlns:a16="http://schemas.microsoft.com/office/drawing/2014/main" id="{00000000-0008-0000-0000-00008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7" name="AutoShape 4">
          <a:extLst>
            <a:ext uri="{FF2B5EF4-FFF2-40B4-BE49-F238E27FC236}">
              <a16:creationId xmlns:a16="http://schemas.microsoft.com/office/drawing/2014/main" id="{00000000-0008-0000-0000-00008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8" name="AutoShape 2">
          <a:extLst>
            <a:ext uri="{FF2B5EF4-FFF2-40B4-BE49-F238E27FC236}">
              <a16:creationId xmlns:a16="http://schemas.microsoft.com/office/drawing/2014/main" id="{00000000-0008-0000-0000-00008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39" name="AutoShape 28">
          <a:extLst>
            <a:ext uri="{FF2B5EF4-FFF2-40B4-BE49-F238E27FC236}">
              <a16:creationId xmlns:a16="http://schemas.microsoft.com/office/drawing/2014/main" id="{00000000-0008-0000-0000-00008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0" name="AutoShape 26">
          <a:extLst>
            <a:ext uri="{FF2B5EF4-FFF2-40B4-BE49-F238E27FC236}">
              <a16:creationId xmlns:a16="http://schemas.microsoft.com/office/drawing/2014/main" id="{00000000-0008-0000-0000-00008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1" name="AutoShape 24">
          <a:extLst>
            <a:ext uri="{FF2B5EF4-FFF2-40B4-BE49-F238E27FC236}">
              <a16:creationId xmlns:a16="http://schemas.microsoft.com/office/drawing/2014/main" id="{00000000-0008-0000-0000-00008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2" name="AutoShape 22">
          <a:extLst>
            <a:ext uri="{FF2B5EF4-FFF2-40B4-BE49-F238E27FC236}">
              <a16:creationId xmlns:a16="http://schemas.microsoft.com/office/drawing/2014/main" id="{00000000-0008-0000-0000-00008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3" name="AutoShape 20">
          <a:extLst>
            <a:ext uri="{FF2B5EF4-FFF2-40B4-BE49-F238E27FC236}">
              <a16:creationId xmlns:a16="http://schemas.microsoft.com/office/drawing/2014/main" id="{00000000-0008-0000-0000-00008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4" name="AutoShape 18">
          <a:extLst>
            <a:ext uri="{FF2B5EF4-FFF2-40B4-BE49-F238E27FC236}">
              <a16:creationId xmlns:a16="http://schemas.microsoft.com/office/drawing/2014/main" id="{00000000-0008-0000-0000-00009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5" name="AutoShape 16">
          <a:extLst>
            <a:ext uri="{FF2B5EF4-FFF2-40B4-BE49-F238E27FC236}">
              <a16:creationId xmlns:a16="http://schemas.microsoft.com/office/drawing/2014/main" id="{00000000-0008-0000-0000-00009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6" name="AutoShape 14">
          <a:extLst>
            <a:ext uri="{FF2B5EF4-FFF2-40B4-BE49-F238E27FC236}">
              <a16:creationId xmlns:a16="http://schemas.microsoft.com/office/drawing/2014/main" id="{00000000-0008-0000-0000-00009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7" name="AutoShape 12">
          <a:extLst>
            <a:ext uri="{FF2B5EF4-FFF2-40B4-BE49-F238E27FC236}">
              <a16:creationId xmlns:a16="http://schemas.microsoft.com/office/drawing/2014/main" id="{00000000-0008-0000-0000-00009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8" name="AutoShape 10">
          <a:extLst>
            <a:ext uri="{FF2B5EF4-FFF2-40B4-BE49-F238E27FC236}">
              <a16:creationId xmlns:a16="http://schemas.microsoft.com/office/drawing/2014/main" id="{00000000-0008-0000-0000-00009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49" name="AutoShape 8">
          <a:extLst>
            <a:ext uri="{FF2B5EF4-FFF2-40B4-BE49-F238E27FC236}">
              <a16:creationId xmlns:a16="http://schemas.microsoft.com/office/drawing/2014/main" id="{00000000-0008-0000-0000-00009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0" name="AutoShape 4">
          <a:extLst>
            <a:ext uri="{FF2B5EF4-FFF2-40B4-BE49-F238E27FC236}">
              <a16:creationId xmlns:a16="http://schemas.microsoft.com/office/drawing/2014/main" id="{00000000-0008-0000-0000-00009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1" name="AutoShape 2">
          <a:extLst>
            <a:ext uri="{FF2B5EF4-FFF2-40B4-BE49-F238E27FC236}">
              <a16:creationId xmlns:a16="http://schemas.microsoft.com/office/drawing/2014/main" id="{00000000-0008-0000-0000-00009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2" name="AutoShape 28">
          <a:extLst>
            <a:ext uri="{FF2B5EF4-FFF2-40B4-BE49-F238E27FC236}">
              <a16:creationId xmlns:a16="http://schemas.microsoft.com/office/drawing/2014/main" id="{00000000-0008-0000-0000-00009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3" name="AutoShape 26">
          <a:extLst>
            <a:ext uri="{FF2B5EF4-FFF2-40B4-BE49-F238E27FC236}">
              <a16:creationId xmlns:a16="http://schemas.microsoft.com/office/drawing/2014/main" id="{00000000-0008-0000-0000-00009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4" name="AutoShape 24">
          <a:extLst>
            <a:ext uri="{FF2B5EF4-FFF2-40B4-BE49-F238E27FC236}">
              <a16:creationId xmlns:a16="http://schemas.microsoft.com/office/drawing/2014/main" id="{00000000-0008-0000-0000-00009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5" name="AutoShape 22">
          <a:extLst>
            <a:ext uri="{FF2B5EF4-FFF2-40B4-BE49-F238E27FC236}">
              <a16:creationId xmlns:a16="http://schemas.microsoft.com/office/drawing/2014/main" id="{00000000-0008-0000-0000-00009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6" name="AutoShape 20">
          <a:extLst>
            <a:ext uri="{FF2B5EF4-FFF2-40B4-BE49-F238E27FC236}">
              <a16:creationId xmlns:a16="http://schemas.microsoft.com/office/drawing/2014/main" id="{00000000-0008-0000-0000-00009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7" name="AutoShape 18">
          <a:extLst>
            <a:ext uri="{FF2B5EF4-FFF2-40B4-BE49-F238E27FC236}">
              <a16:creationId xmlns:a16="http://schemas.microsoft.com/office/drawing/2014/main" id="{00000000-0008-0000-0000-00009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8" name="AutoShape 16">
          <a:extLst>
            <a:ext uri="{FF2B5EF4-FFF2-40B4-BE49-F238E27FC236}">
              <a16:creationId xmlns:a16="http://schemas.microsoft.com/office/drawing/2014/main" id="{00000000-0008-0000-0000-00009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59" name="AutoShape 14">
          <a:extLst>
            <a:ext uri="{FF2B5EF4-FFF2-40B4-BE49-F238E27FC236}">
              <a16:creationId xmlns:a16="http://schemas.microsoft.com/office/drawing/2014/main" id="{00000000-0008-0000-0000-00009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0" name="AutoShape 12">
          <a:extLst>
            <a:ext uri="{FF2B5EF4-FFF2-40B4-BE49-F238E27FC236}">
              <a16:creationId xmlns:a16="http://schemas.microsoft.com/office/drawing/2014/main" id="{00000000-0008-0000-0000-0000A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1" name="AutoShape 10">
          <a:extLst>
            <a:ext uri="{FF2B5EF4-FFF2-40B4-BE49-F238E27FC236}">
              <a16:creationId xmlns:a16="http://schemas.microsoft.com/office/drawing/2014/main" id="{00000000-0008-0000-0000-0000A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2" name="AutoShape 8">
          <a:extLst>
            <a:ext uri="{FF2B5EF4-FFF2-40B4-BE49-F238E27FC236}">
              <a16:creationId xmlns:a16="http://schemas.microsoft.com/office/drawing/2014/main" id="{00000000-0008-0000-0000-0000A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3" name="AutoShape 4">
          <a:extLst>
            <a:ext uri="{FF2B5EF4-FFF2-40B4-BE49-F238E27FC236}">
              <a16:creationId xmlns:a16="http://schemas.microsoft.com/office/drawing/2014/main" id="{00000000-0008-0000-0000-0000A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4" name="AutoShape 2">
          <a:extLst>
            <a:ext uri="{FF2B5EF4-FFF2-40B4-BE49-F238E27FC236}">
              <a16:creationId xmlns:a16="http://schemas.microsoft.com/office/drawing/2014/main" id="{00000000-0008-0000-0000-0000A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5" name="AutoShape 28">
          <a:extLst>
            <a:ext uri="{FF2B5EF4-FFF2-40B4-BE49-F238E27FC236}">
              <a16:creationId xmlns:a16="http://schemas.microsoft.com/office/drawing/2014/main" id="{00000000-0008-0000-0000-0000A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6" name="AutoShape 26">
          <a:extLst>
            <a:ext uri="{FF2B5EF4-FFF2-40B4-BE49-F238E27FC236}">
              <a16:creationId xmlns:a16="http://schemas.microsoft.com/office/drawing/2014/main" id="{00000000-0008-0000-0000-0000A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7" name="AutoShape 24">
          <a:extLst>
            <a:ext uri="{FF2B5EF4-FFF2-40B4-BE49-F238E27FC236}">
              <a16:creationId xmlns:a16="http://schemas.microsoft.com/office/drawing/2014/main" id="{00000000-0008-0000-0000-0000A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8" name="AutoShape 22">
          <a:extLst>
            <a:ext uri="{FF2B5EF4-FFF2-40B4-BE49-F238E27FC236}">
              <a16:creationId xmlns:a16="http://schemas.microsoft.com/office/drawing/2014/main" id="{00000000-0008-0000-0000-0000A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69" name="AutoShape 20">
          <a:extLst>
            <a:ext uri="{FF2B5EF4-FFF2-40B4-BE49-F238E27FC236}">
              <a16:creationId xmlns:a16="http://schemas.microsoft.com/office/drawing/2014/main" id="{00000000-0008-0000-0000-0000A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0" name="AutoShape 18">
          <a:extLst>
            <a:ext uri="{FF2B5EF4-FFF2-40B4-BE49-F238E27FC236}">
              <a16:creationId xmlns:a16="http://schemas.microsoft.com/office/drawing/2014/main" id="{00000000-0008-0000-0000-0000A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1" name="AutoShape 16">
          <a:extLst>
            <a:ext uri="{FF2B5EF4-FFF2-40B4-BE49-F238E27FC236}">
              <a16:creationId xmlns:a16="http://schemas.microsoft.com/office/drawing/2014/main" id="{00000000-0008-0000-0000-0000A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2" name="AutoShape 14">
          <a:extLst>
            <a:ext uri="{FF2B5EF4-FFF2-40B4-BE49-F238E27FC236}">
              <a16:creationId xmlns:a16="http://schemas.microsoft.com/office/drawing/2014/main" id="{00000000-0008-0000-0000-0000A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3" name="AutoShape 12">
          <a:extLst>
            <a:ext uri="{FF2B5EF4-FFF2-40B4-BE49-F238E27FC236}">
              <a16:creationId xmlns:a16="http://schemas.microsoft.com/office/drawing/2014/main" id="{00000000-0008-0000-0000-0000A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4" name="AutoShape 10">
          <a:extLst>
            <a:ext uri="{FF2B5EF4-FFF2-40B4-BE49-F238E27FC236}">
              <a16:creationId xmlns:a16="http://schemas.microsoft.com/office/drawing/2014/main" id="{00000000-0008-0000-0000-0000A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5" name="AutoShape 8">
          <a:extLst>
            <a:ext uri="{FF2B5EF4-FFF2-40B4-BE49-F238E27FC236}">
              <a16:creationId xmlns:a16="http://schemas.microsoft.com/office/drawing/2014/main" id="{00000000-0008-0000-0000-0000A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6" name="AutoShape 4">
          <a:extLst>
            <a:ext uri="{FF2B5EF4-FFF2-40B4-BE49-F238E27FC236}">
              <a16:creationId xmlns:a16="http://schemas.microsoft.com/office/drawing/2014/main" id="{00000000-0008-0000-0000-0000B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7" name="AutoShape 2">
          <a:extLst>
            <a:ext uri="{FF2B5EF4-FFF2-40B4-BE49-F238E27FC236}">
              <a16:creationId xmlns:a16="http://schemas.microsoft.com/office/drawing/2014/main" id="{00000000-0008-0000-0000-0000B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8" name="AutoShape 28">
          <a:extLst>
            <a:ext uri="{FF2B5EF4-FFF2-40B4-BE49-F238E27FC236}">
              <a16:creationId xmlns:a16="http://schemas.microsoft.com/office/drawing/2014/main" id="{00000000-0008-0000-0000-0000B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79" name="AutoShape 26">
          <a:extLst>
            <a:ext uri="{FF2B5EF4-FFF2-40B4-BE49-F238E27FC236}">
              <a16:creationId xmlns:a16="http://schemas.microsoft.com/office/drawing/2014/main" id="{00000000-0008-0000-0000-0000B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0" name="AutoShape 24">
          <a:extLst>
            <a:ext uri="{FF2B5EF4-FFF2-40B4-BE49-F238E27FC236}">
              <a16:creationId xmlns:a16="http://schemas.microsoft.com/office/drawing/2014/main" id="{00000000-0008-0000-0000-0000B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1" name="AutoShape 22">
          <a:extLst>
            <a:ext uri="{FF2B5EF4-FFF2-40B4-BE49-F238E27FC236}">
              <a16:creationId xmlns:a16="http://schemas.microsoft.com/office/drawing/2014/main" id="{00000000-0008-0000-0000-0000B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2" name="AutoShape 20">
          <a:extLst>
            <a:ext uri="{FF2B5EF4-FFF2-40B4-BE49-F238E27FC236}">
              <a16:creationId xmlns:a16="http://schemas.microsoft.com/office/drawing/2014/main" id="{00000000-0008-0000-0000-0000B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3" name="AutoShape 18">
          <a:extLst>
            <a:ext uri="{FF2B5EF4-FFF2-40B4-BE49-F238E27FC236}">
              <a16:creationId xmlns:a16="http://schemas.microsoft.com/office/drawing/2014/main" id="{00000000-0008-0000-0000-0000B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4" name="AutoShape 16">
          <a:extLst>
            <a:ext uri="{FF2B5EF4-FFF2-40B4-BE49-F238E27FC236}">
              <a16:creationId xmlns:a16="http://schemas.microsoft.com/office/drawing/2014/main" id="{00000000-0008-0000-0000-0000B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5" name="AutoShape 14">
          <a:extLst>
            <a:ext uri="{FF2B5EF4-FFF2-40B4-BE49-F238E27FC236}">
              <a16:creationId xmlns:a16="http://schemas.microsoft.com/office/drawing/2014/main" id="{00000000-0008-0000-0000-0000B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6" name="AutoShape 12">
          <a:extLst>
            <a:ext uri="{FF2B5EF4-FFF2-40B4-BE49-F238E27FC236}">
              <a16:creationId xmlns:a16="http://schemas.microsoft.com/office/drawing/2014/main" id="{00000000-0008-0000-0000-0000B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7" name="AutoShape 10">
          <a:extLst>
            <a:ext uri="{FF2B5EF4-FFF2-40B4-BE49-F238E27FC236}">
              <a16:creationId xmlns:a16="http://schemas.microsoft.com/office/drawing/2014/main" id="{00000000-0008-0000-0000-0000B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8" name="AutoShape 8">
          <a:extLst>
            <a:ext uri="{FF2B5EF4-FFF2-40B4-BE49-F238E27FC236}">
              <a16:creationId xmlns:a16="http://schemas.microsoft.com/office/drawing/2014/main" id="{00000000-0008-0000-0000-0000B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89" name="AutoShape 4">
          <a:extLst>
            <a:ext uri="{FF2B5EF4-FFF2-40B4-BE49-F238E27FC236}">
              <a16:creationId xmlns:a16="http://schemas.microsoft.com/office/drawing/2014/main" id="{00000000-0008-0000-0000-0000B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0" name="AutoShape 2">
          <a:extLst>
            <a:ext uri="{FF2B5EF4-FFF2-40B4-BE49-F238E27FC236}">
              <a16:creationId xmlns:a16="http://schemas.microsoft.com/office/drawing/2014/main" id="{00000000-0008-0000-0000-0000B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1" name="AutoShape 28">
          <a:extLst>
            <a:ext uri="{FF2B5EF4-FFF2-40B4-BE49-F238E27FC236}">
              <a16:creationId xmlns:a16="http://schemas.microsoft.com/office/drawing/2014/main" id="{00000000-0008-0000-0000-0000B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2" name="AutoShape 26">
          <a:extLst>
            <a:ext uri="{FF2B5EF4-FFF2-40B4-BE49-F238E27FC236}">
              <a16:creationId xmlns:a16="http://schemas.microsoft.com/office/drawing/2014/main" id="{00000000-0008-0000-0000-0000C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3" name="AutoShape 24">
          <a:extLst>
            <a:ext uri="{FF2B5EF4-FFF2-40B4-BE49-F238E27FC236}">
              <a16:creationId xmlns:a16="http://schemas.microsoft.com/office/drawing/2014/main" id="{00000000-0008-0000-0000-0000C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4" name="AutoShape 22">
          <a:extLst>
            <a:ext uri="{FF2B5EF4-FFF2-40B4-BE49-F238E27FC236}">
              <a16:creationId xmlns:a16="http://schemas.microsoft.com/office/drawing/2014/main" id="{00000000-0008-0000-0000-0000C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5" name="AutoShape 20">
          <a:extLst>
            <a:ext uri="{FF2B5EF4-FFF2-40B4-BE49-F238E27FC236}">
              <a16:creationId xmlns:a16="http://schemas.microsoft.com/office/drawing/2014/main" id="{00000000-0008-0000-0000-0000C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6" name="AutoShape 18">
          <a:extLst>
            <a:ext uri="{FF2B5EF4-FFF2-40B4-BE49-F238E27FC236}">
              <a16:creationId xmlns:a16="http://schemas.microsoft.com/office/drawing/2014/main" id="{00000000-0008-0000-0000-0000C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7" name="AutoShape 16">
          <a:extLst>
            <a:ext uri="{FF2B5EF4-FFF2-40B4-BE49-F238E27FC236}">
              <a16:creationId xmlns:a16="http://schemas.microsoft.com/office/drawing/2014/main" id="{00000000-0008-0000-0000-0000C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8" name="AutoShape 14">
          <a:extLst>
            <a:ext uri="{FF2B5EF4-FFF2-40B4-BE49-F238E27FC236}">
              <a16:creationId xmlns:a16="http://schemas.microsoft.com/office/drawing/2014/main" id="{00000000-0008-0000-0000-0000C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199" name="AutoShape 12">
          <a:extLst>
            <a:ext uri="{FF2B5EF4-FFF2-40B4-BE49-F238E27FC236}">
              <a16:creationId xmlns:a16="http://schemas.microsoft.com/office/drawing/2014/main" id="{00000000-0008-0000-0000-0000C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0" name="AutoShape 10">
          <a:extLst>
            <a:ext uri="{FF2B5EF4-FFF2-40B4-BE49-F238E27FC236}">
              <a16:creationId xmlns:a16="http://schemas.microsoft.com/office/drawing/2014/main" id="{00000000-0008-0000-0000-0000C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1" name="AutoShape 8">
          <a:extLst>
            <a:ext uri="{FF2B5EF4-FFF2-40B4-BE49-F238E27FC236}">
              <a16:creationId xmlns:a16="http://schemas.microsoft.com/office/drawing/2014/main" id="{00000000-0008-0000-0000-0000C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2" name="AutoShape 4">
          <a:extLst>
            <a:ext uri="{FF2B5EF4-FFF2-40B4-BE49-F238E27FC236}">
              <a16:creationId xmlns:a16="http://schemas.microsoft.com/office/drawing/2014/main" id="{00000000-0008-0000-0000-0000C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3" name="AutoShape 2">
          <a:extLst>
            <a:ext uri="{FF2B5EF4-FFF2-40B4-BE49-F238E27FC236}">
              <a16:creationId xmlns:a16="http://schemas.microsoft.com/office/drawing/2014/main" id="{00000000-0008-0000-0000-0000C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4" name="AutoShape 28">
          <a:extLst>
            <a:ext uri="{FF2B5EF4-FFF2-40B4-BE49-F238E27FC236}">
              <a16:creationId xmlns:a16="http://schemas.microsoft.com/office/drawing/2014/main" id="{00000000-0008-0000-0000-0000C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5" name="AutoShape 26">
          <a:extLst>
            <a:ext uri="{FF2B5EF4-FFF2-40B4-BE49-F238E27FC236}">
              <a16:creationId xmlns:a16="http://schemas.microsoft.com/office/drawing/2014/main" id="{00000000-0008-0000-0000-0000C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6" name="AutoShape 24">
          <a:extLst>
            <a:ext uri="{FF2B5EF4-FFF2-40B4-BE49-F238E27FC236}">
              <a16:creationId xmlns:a16="http://schemas.microsoft.com/office/drawing/2014/main" id="{00000000-0008-0000-0000-0000C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7" name="AutoShape 22">
          <a:extLst>
            <a:ext uri="{FF2B5EF4-FFF2-40B4-BE49-F238E27FC236}">
              <a16:creationId xmlns:a16="http://schemas.microsoft.com/office/drawing/2014/main" id="{00000000-0008-0000-0000-0000C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8" name="AutoShape 20">
          <a:extLst>
            <a:ext uri="{FF2B5EF4-FFF2-40B4-BE49-F238E27FC236}">
              <a16:creationId xmlns:a16="http://schemas.microsoft.com/office/drawing/2014/main" id="{00000000-0008-0000-0000-0000D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09" name="AutoShape 18">
          <a:extLst>
            <a:ext uri="{FF2B5EF4-FFF2-40B4-BE49-F238E27FC236}">
              <a16:creationId xmlns:a16="http://schemas.microsoft.com/office/drawing/2014/main" id="{00000000-0008-0000-0000-0000D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0" name="AutoShape 16">
          <a:extLst>
            <a:ext uri="{FF2B5EF4-FFF2-40B4-BE49-F238E27FC236}">
              <a16:creationId xmlns:a16="http://schemas.microsoft.com/office/drawing/2014/main" id="{00000000-0008-0000-0000-0000D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1" name="AutoShape 14">
          <a:extLst>
            <a:ext uri="{FF2B5EF4-FFF2-40B4-BE49-F238E27FC236}">
              <a16:creationId xmlns:a16="http://schemas.microsoft.com/office/drawing/2014/main" id="{00000000-0008-0000-0000-0000D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2" name="AutoShape 12">
          <a:extLst>
            <a:ext uri="{FF2B5EF4-FFF2-40B4-BE49-F238E27FC236}">
              <a16:creationId xmlns:a16="http://schemas.microsoft.com/office/drawing/2014/main" id="{00000000-0008-0000-0000-0000D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3" name="AutoShape 10">
          <a:extLst>
            <a:ext uri="{FF2B5EF4-FFF2-40B4-BE49-F238E27FC236}">
              <a16:creationId xmlns:a16="http://schemas.microsoft.com/office/drawing/2014/main" id="{00000000-0008-0000-0000-0000D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4" name="AutoShape 8">
          <a:extLst>
            <a:ext uri="{FF2B5EF4-FFF2-40B4-BE49-F238E27FC236}">
              <a16:creationId xmlns:a16="http://schemas.microsoft.com/office/drawing/2014/main" id="{00000000-0008-0000-0000-0000D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5" name="AutoShape 4">
          <a:extLst>
            <a:ext uri="{FF2B5EF4-FFF2-40B4-BE49-F238E27FC236}">
              <a16:creationId xmlns:a16="http://schemas.microsoft.com/office/drawing/2014/main" id="{00000000-0008-0000-0000-0000D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6" name="AutoShape 2">
          <a:extLst>
            <a:ext uri="{FF2B5EF4-FFF2-40B4-BE49-F238E27FC236}">
              <a16:creationId xmlns:a16="http://schemas.microsoft.com/office/drawing/2014/main" id="{00000000-0008-0000-0000-0000D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7" name="AutoShape 28">
          <a:extLst>
            <a:ext uri="{FF2B5EF4-FFF2-40B4-BE49-F238E27FC236}">
              <a16:creationId xmlns:a16="http://schemas.microsoft.com/office/drawing/2014/main" id="{00000000-0008-0000-0000-0000D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8" name="AutoShape 26">
          <a:extLst>
            <a:ext uri="{FF2B5EF4-FFF2-40B4-BE49-F238E27FC236}">
              <a16:creationId xmlns:a16="http://schemas.microsoft.com/office/drawing/2014/main" id="{00000000-0008-0000-0000-0000D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19" name="AutoShape 24">
          <a:extLst>
            <a:ext uri="{FF2B5EF4-FFF2-40B4-BE49-F238E27FC236}">
              <a16:creationId xmlns:a16="http://schemas.microsoft.com/office/drawing/2014/main" id="{00000000-0008-0000-0000-0000D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0" name="AutoShape 22">
          <a:extLst>
            <a:ext uri="{FF2B5EF4-FFF2-40B4-BE49-F238E27FC236}">
              <a16:creationId xmlns:a16="http://schemas.microsoft.com/office/drawing/2014/main" id="{00000000-0008-0000-0000-0000D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1" name="AutoShape 20">
          <a:extLst>
            <a:ext uri="{FF2B5EF4-FFF2-40B4-BE49-F238E27FC236}">
              <a16:creationId xmlns:a16="http://schemas.microsoft.com/office/drawing/2014/main" id="{00000000-0008-0000-0000-0000D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2" name="AutoShape 18">
          <a:extLst>
            <a:ext uri="{FF2B5EF4-FFF2-40B4-BE49-F238E27FC236}">
              <a16:creationId xmlns:a16="http://schemas.microsoft.com/office/drawing/2014/main" id="{00000000-0008-0000-0000-0000D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3" name="AutoShape 16">
          <a:extLst>
            <a:ext uri="{FF2B5EF4-FFF2-40B4-BE49-F238E27FC236}">
              <a16:creationId xmlns:a16="http://schemas.microsoft.com/office/drawing/2014/main" id="{00000000-0008-0000-0000-0000D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4" name="AutoShape 14">
          <a:extLst>
            <a:ext uri="{FF2B5EF4-FFF2-40B4-BE49-F238E27FC236}">
              <a16:creationId xmlns:a16="http://schemas.microsoft.com/office/drawing/2014/main" id="{00000000-0008-0000-0000-0000E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5" name="AutoShape 12">
          <a:extLst>
            <a:ext uri="{FF2B5EF4-FFF2-40B4-BE49-F238E27FC236}">
              <a16:creationId xmlns:a16="http://schemas.microsoft.com/office/drawing/2014/main" id="{00000000-0008-0000-0000-0000E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6" name="AutoShape 10">
          <a:extLst>
            <a:ext uri="{FF2B5EF4-FFF2-40B4-BE49-F238E27FC236}">
              <a16:creationId xmlns:a16="http://schemas.microsoft.com/office/drawing/2014/main" id="{00000000-0008-0000-0000-0000E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7" name="AutoShape 8">
          <a:extLst>
            <a:ext uri="{FF2B5EF4-FFF2-40B4-BE49-F238E27FC236}">
              <a16:creationId xmlns:a16="http://schemas.microsoft.com/office/drawing/2014/main" id="{00000000-0008-0000-0000-0000E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8" name="AutoShape 4">
          <a:extLst>
            <a:ext uri="{FF2B5EF4-FFF2-40B4-BE49-F238E27FC236}">
              <a16:creationId xmlns:a16="http://schemas.microsoft.com/office/drawing/2014/main" id="{00000000-0008-0000-0000-0000E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29" name="AutoShape 2">
          <a:extLst>
            <a:ext uri="{FF2B5EF4-FFF2-40B4-BE49-F238E27FC236}">
              <a16:creationId xmlns:a16="http://schemas.microsoft.com/office/drawing/2014/main" id="{00000000-0008-0000-0000-0000E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0" name="AutoShape 28">
          <a:extLst>
            <a:ext uri="{FF2B5EF4-FFF2-40B4-BE49-F238E27FC236}">
              <a16:creationId xmlns:a16="http://schemas.microsoft.com/office/drawing/2014/main" id="{00000000-0008-0000-0000-0000E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1" name="AutoShape 26">
          <a:extLst>
            <a:ext uri="{FF2B5EF4-FFF2-40B4-BE49-F238E27FC236}">
              <a16:creationId xmlns:a16="http://schemas.microsoft.com/office/drawing/2014/main" id="{00000000-0008-0000-0000-0000E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2" name="AutoShape 24">
          <a:extLst>
            <a:ext uri="{FF2B5EF4-FFF2-40B4-BE49-F238E27FC236}">
              <a16:creationId xmlns:a16="http://schemas.microsoft.com/office/drawing/2014/main" id="{00000000-0008-0000-0000-0000E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3" name="AutoShape 22">
          <a:extLst>
            <a:ext uri="{FF2B5EF4-FFF2-40B4-BE49-F238E27FC236}">
              <a16:creationId xmlns:a16="http://schemas.microsoft.com/office/drawing/2014/main" id="{00000000-0008-0000-0000-0000E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4" name="AutoShape 20">
          <a:extLst>
            <a:ext uri="{FF2B5EF4-FFF2-40B4-BE49-F238E27FC236}">
              <a16:creationId xmlns:a16="http://schemas.microsoft.com/office/drawing/2014/main" id="{00000000-0008-0000-0000-0000E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5" name="AutoShape 18">
          <a:extLst>
            <a:ext uri="{FF2B5EF4-FFF2-40B4-BE49-F238E27FC236}">
              <a16:creationId xmlns:a16="http://schemas.microsoft.com/office/drawing/2014/main" id="{00000000-0008-0000-0000-0000E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6" name="AutoShape 16">
          <a:extLst>
            <a:ext uri="{FF2B5EF4-FFF2-40B4-BE49-F238E27FC236}">
              <a16:creationId xmlns:a16="http://schemas.microsoft.com/office/drawing/2014/main" id="{00000000-0008-0000-0000-0000E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7" name="AutoShape 14">
          <a:extLst>
            <a:ext uri="{FF2B5EF4-FFF2-40B4-BE49-F238E27FC236}">
              <a16:creationId xmlns:a16="http://schemas.microsoft.com/office/drawing/2014/main" id="{00000000-0008-0000-0000-0000E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8" name="AutoShape 12">
          <a:extLst>
            <a:ext uri="{FF2B5EF4-FFF2-40B4-BE49-F238E27FC236}">
              <a16:creationId xmlns:a16="http://schemas.microsoft.com/office/drawing/2014/main" id="{00000000-0008-0000-0000-0000E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39" name="AutoShape 10">
          <a:extLst>
            <a:ext uri="{FF2B5EF4-FFF2-40B4-BE49-F238E27FC236}">
              <a16:creationId xmlns:a16="http://schemas.microsoft.com/office/drawing/2014/main" id="{00000000-0008-0000-0000-0000E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0" name="AutoShape 8">
          <a:extLst>
            <a:ext uri="{FF2B5EF4-FFF2-40B4-BE49-F238E27FC236}">
              <a16:creationId xmlns:a16="http://schemas.microsoft.com/office/drawing/2014/main" id="{00000000-0008-0000-0000-0000F0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1" name="AutoShape 4">
          <a:extLst>
            <a:ext uri="{FF2B5EF4-FFF2-40B4-BE49-F238E27FC236}">
              <a16:creationId xmlns:a16="http://schemas.microsoft.com/office/drawing/2014/main" id="{00000000-0008-0000-0000-0000F1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2" name="AutoShape 2">
          <a:extLst>
            <a:ext uri="{FF2B5EF4-FFF2-40B4-BE49-F238E27FC236}">
              <a16:creationId xmlns:a16="http://schemas.microsoft.com/office/drawing/2014/main" id="{00000000-0008-0000-0000-0000F2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3" name="AutoShape 28">
          <a:extLst>
            <a:ext uri="{FF2B5EF4-FFF2-40B4-BE49-F238E27FC236}">
              <a16:creationId xmlns:a16="http://schemas.microsoft.com/office/drawing/2014/main" id="{00000000-0008-0000-0000-0000F3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4" name="AutoShape 26">
          <a:extLst>
            <a:ext uri="{FF2B5EF4-FFF2-40B4-BE49-F238E27FC236}">
              <a16:creationId xmlns:a16="http://schemas.microsoft.com/office/drawing/2014/main" id="{00000000-0008-0000-0000-0000F4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5" name="AutoShape 24">
          <a:extLst>
            <a:ext uri="{FF2B5EF4-FFF2-40B4-BE49-F238E27FC236}">
              <a16:creationId xmlns:a16="http://schemas.microsoft.com/office/drawing/2014/main" id="{00000000-0008-0000-0000-0000F5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6" name="AutoShape 22">
          <a:extLst>
            <a:ext uri="{FF2B5EF4-FFF2-40B4-BE49-F238E27FC236}">
              <a16:creationId xmlns:a16="http://schemas.microsoft.com/office/drawing/2014/main" id="{00000000-0008-0000-0000-0000F6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7" name="AutoShape 20">
          <a:extLst>
            <a:ext uri="{FF2B5EF4-FFF2-40B4-BE49-F238E27FC236}">
              <a16:creationId xmlns:a16="http://schemas.microsoft.com/office/drawing/2014/main" id="{00000000-0008-0000-0000-0000F7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8" name="AutoShape 18">
          <a:extLst>
            <a:ext uri="{FF2B5EF4-FFF2-40B4-BE49-F238E27FC236}">
              <a16:creationId xmlns:a16="http://schemas.microsoft.com/office/drawing/2014/main" id="{00000000-0008-0000-0000-0000F8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49" name="AutoShape 16">
          <a:extLst>
            <a:ext uri="{FF2B5EF4-FFF2-40B4-BE49-F238E27FC236}">
              <a16:creationId xmlns:a16="http://schemas.microsoft.com/office/drawing/2014/main" id="{00000000-0008-0000-0000-0000F9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0" name="AutoShape 14">
          <a:extLst>
            <a:ext uri="{FF2B5EF4-FFF2-40B4-BE49-F238E27FC236}">
              <a16:creationId xmlns:a16="http://schemas.microsoft.com/office/drawing/2014/main" id="{00000000-0008-0000-0000-0000FA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1" name="AutoShape 12">
          <a:extLst>
            <a:ext uri="{FF2B5EF4-FFF2-40B4-BE49-F238E27FC236}">
              <a16:creationId xmlns:a16="http://schemas.microsoft.com/office/drawing/2014/main" id="{00000000-0008-0000-0000-0000FB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2" name="AutoShape 10">
          <a:extLst>
            <a:ext uri="{FF2B5EF4-FFF2-40B4-BE49-F238E27FC236}">
              <a16:creationId xmlns:a16="http://schemas.microsoft.com/office/drawing/2014/main" id="{00000000-0008-0000-0000-0000FC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3" name="AutoShape 8">
          <a:extLst>
            <a:ext uri="{FF2B5EF4-FFF2-40B4-BE49-F238E27FC236}">
              <a16:creationId xmlns:a16="http://schemas.microsoft.com/office/drawing/2014/main" id="{00000000-0008-0000-0000-0000FD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4" name="AutoShape 4">
          <a:extLst>
            <a:ext uri="{FF2B5EF4-FFF2-40B4-BE49-F238E27FC236}">
              <a16:creationId xmlns:a16="http://schemas.microsoft.com/office/drawing/2014/main" id="{00000000-0008-0000-0000-0000FE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5" name="AutoShape 2">
          <a:extLst>
            <a:ext uri="{FF2B5EF4-FFF2-40B4-BE49-F238E27FC236}">
              <a16:creationId xmlns:a16="http://schemas.microsoft.com/office/drawing/2014/main" id="{00000000-0008-0000-0000-0000FF00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6" name="AutoShape 28">
          <a:extLst>
            <a:ext uri="{FF2B5EF4-FFF2-40B4-BE49-F238E27FC236}">
              <a16:creationId xmlns:a16="http://schemas.microsoft.com/office/drawing/2014/main" id="{00000000-0008-0000-0000-00000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7" name="AutoShape 26">
          <a:extLst>
            <a:ext uri="{FF2B5EF4-FFF2-40B4-BE49-F238E27FC236}">
              <a16:creationId xmlns:a16="http://schemas.microsoft.com/office/drawing/2014/main" id="{00000000-0008-0000-0000-00000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8" name="AutoShape 24">
          <a:extLst>
            <a:ext uri="{FF2B5EF4-FFF2-40B4-BE49-F238E27FC236}">
              <a16:creationId xmlns:a16="http://schemas.microsoft.com/office/drawing/2014/main" id="{00000000-0008-0000-0000-00000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59" name="AutoShape 22">
          <a:extLst>
            <a:ext uri="{FF2B5EF4-FFF2-40B4-BE49-F238E27FC236}">
              <a16:creationId xmlns:a16="http://schemas.microsoft.com/office/drawing/2014/main" id="{00000000-0008-0000-0000-00000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0" name="AutoShape 20">
          <a:extLst>
            <a:ext uri="{FF2B5EF4-FFF2-40B4-BE49-F238E27FC236}">
              <a16:creationId xmlns:a16="http://schemas.microsoft.com/office/drawing/2014/main" id="{00000000-0008-0000-0000-00000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1" name="AutoShape 18">
          <a:extLst>
            <a:ext uri="{FF2B5EF4-FFF2-40B4-BE49-F238E27FC236}">
              <a16:creationId xmlns:a16="http://schemas.microsoft.com/office/drawing/2014/main" id="{00000000-0008-0000-0000-00000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2" name="AutoShape 16">
          <a:extLst>
            <a:ext uri="{FF2B5EF4-FFF2-40B4-BE49-F238E27FC236}">
              <a16:creationId xmlns:a16="http://schemas.microsoft.com/office/drawing/2014/main" id="{00000000-0008-0000-0000-00000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3" name="AutoShape 14">
          <a:extLst>
            <a:ext uri="{FF2B5EF4-FFF2-40B4-BE49-F238E27FC236}">
              <a16:creationId xmlns:a16="http://schemas.microsoft.com/office/drawing/2014/main" id="{00000000-0008-0000-0000-00000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4" name="AutoShape 12">
          <a:extLst>
            <a:ext uri="{FF2B5EF4-FFF2-40B4-BE49-F238E27FC236}">
              <a16:creationId xmlns:a16="http://schemas.microsoft.com/office/drawing/2014/main" id="{00000000-0008-0000-0000-00000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5" name="AutoShape 10">
          <a:extLst>
            <a:ext uri="{FF2B5EF4-FFF2-40B4-BE49-F238E27FC236}">
              <a16:creationId xmlns:a16="http://schemas.microsoft.com/office/drawing/2014/main" id="{00000000-0008-0000-0000-00000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6" name="AutoShape 8">
          <a:extLst>
            <a:ext uri="{FF2B5EF4-FFF2-40B4-BE49-F238E27FC236}">
              <a16:creationId xmlns:a16="http://schemas.microsoft.com/office/drawing/2014/main" id="{00000000-0008-0000-0000-00000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7" name="AutoShape 4">
          <a:extLst>
            <a:ext uri="{FF2B5EF4-FFF2-40B4-BE49-F238E27FC236}">
              <a16:creationId xmlns:a16="http://schemas.microsoft.com/office/drawing/2014/main" id="{00000000-0008-0000-0000-00000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8" name="AutoShape 2">
          <a:extLst>
            <a:ext uri="{FF2B5EF4-FFF2-40B4-BE49-F238E27FC236}">
              <a16:creationId xmlns:a16="http://schemas.microsoft.com/office/drawing/2014/main" id="{00000000-0008-0000-0000-00000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69" name="AutoShape 28">
          <a:extLst>
            <a:ext uri="{FF2B5EF4-FFF2-40B4-BE49-F238E27FC236}">
              <a16:creationId xmlns:a16="http://schemas.microsoft.com/office/drawing/2014/main" id="{00000000-0008-0000-0000-00000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0" name="AutoShape 26">
          <a:extLst>
            <a:ext uri="{FF2B5EF4-FFF2-40B4-BE49-F238E27FC236}">
              <a16:creationId xmlns:a16="http://schemas.microsoft.com/office/drawing/2014/main" id="{00000000-0008-0000-0000-00000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1" name="AutoShape 24">
          <a:extLst>
            <a:ext uri="{FF2B5EF4-FFF2-40B4-BE49-F238E27FC236}">
              <a16:creationId xmlns:a16="http://schemas.microsoft.com/office/drawing/2014/main" id="{00000000-0008-0000-0000-00000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2" name="AutoShape 22">
          <a:extLst>
            <a:ext uri="{FF2B5EF4-FFF2-40B4-BE49-F238E27FC236}">
              <a16:creationId xmlns:a16="http://schemas.microsoft.com/office/drawing/2014/main" id="{00000000-0008-0000-0000-00001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3" name="AutoShape 20">
          <a:extLst>
            <a:ext uri="{FF2B5EF4-FFF2-40B4-BE49-F238E27FC236}">
              <a16:creationId xmlns:a16="http://schemas.microsoft.com/office/drawing/2014/main" id="{00000000-0008-0000-0000-00001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4" name="AutoShape 18">
          <a:extLst>
            <a:ext uri="{FF2B5EF4-FFF2-40B4-BE49-F238E27FC236}">
              <a16:creationId xmlns:a16="http://schemas.microsoft.com/office/drawing/2014/main" id="{00000000-0008-0000-0000-00001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5" name="AutoShape 16">
          <a:extLst>
            <a:ext uri="{FF2B5EF4-FFF2-40B4-BE49-F238E27FC236}">
              <a16:creationId xmlns:a16="http://schemas.microsoft.com/office/drawing/2014/main" id="{00000000-0008-0000-0000-00001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6" name="AutoShape 14">
          <a:extLst>
            <a:ext uri="{FF2B5EF4-FFF2-40B4-BE49-F238E27FC236}">
              <a16:creationId xmlns:a16="http://schemas.microsoft.com/office/drawing/2014/main" id="{00000000-0008-0000-0000-00001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7" name="AutoShape 12">
          <a:extLst>
            <a:ext uri="{FF2B5EF4-FFF2-40B4-BE49-F238E27FC236}">
              <a16:creationId xmlns:a16="http://schemas.microsoft.com/office/drawing/2014/main" id="{00000000-0008-0000-0000-00001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8" name="AutoShape 10">
          <a:extLst>
            <a:ext uri="{FF2B5EF4-FFF2-40B4-BE49-F238E27FC236}">
              <a16:creationId xmlns:a16="http://schemas.microsoft.com/office/drawing/2014/main" id="{00000000-0008-0000-0000-00001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79" name="AutoShape 8">
          <a:extLst>
            <a:ext uri="{FF2B5EF4-FFF2-40B4-BE49-F238E27FC236}">
              <a16:creationId xmlns:a16="http://schemas.microsoft.com/office/drawing/2014/main" id="{00000000-0008-0000-0000-00001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0" name="AutoShape 4">
          <a:extLst>
            <a:ext uri="{FF2B5EF4-FFF2-40B4-BE49-F238E27FC236}">
              <a16:creationId xmlns:a16="http://schemas.microsoft.com/office/drawing/2014/main" id="{00000000-0008-0000-0000-00001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1" name="AutoShape 2">
          <a:extLst>
            <a:ext uri="{FF2B5EF4-FFF2-40B4-BE49-F238E27FC236}">
              <a16:creationId xmlns:a16="http://schemas.microsoft.com/office/drawing/2014/main" id="{00000000-0008-0000-0000-00001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2" name="AutoShape 28">
          <a:extLst>
            <a:ext uri="{FF2B5EF4-FFF2-40B4-BE49-F238E27FC236}">
              <a16:creationId xmlns:a16="http://schemas.microsoft.com/office/drawing/2014/main" id="{00000000-0008-0000-0000-00001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3" name="AutoShape 26">
          <a:extLst>
            <a:ext uri="{FF2B5EF4-FFF2-40B4-BE49-F238E27FC236}">
              <a16:creationId xmlns:a16="http://schemas.microsoft.com/office/drawing/2014/main" id="{00000000-0008-0000-0000-00001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4" name="AutoShape 24">
          <a:extLst>
            <a:ext uri="{FF2B5EF4-FFF2-40B4-BE49-F238E27FC236}">
              <a16:creationId xmlns:a16="http://schemas.microsoft.com/office/drawing/2014/main" id="{00000000-0008-0000-0000-00001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5" name="AutoShape 22">
          <a:extLst>
            <a:ext uri="{FF2B5EF4-FFF2-40B4-BE49-F238E27FC236}">
              <a16:creationId xmlns:a16="http://schemas.microsoft.com/office/drawing/2014/main" id="{00000000-0008-0000-0000-00001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6" name="AutoShape 20">
          <a:extLst>
            <a:ext uri="{FF2B5EF4-FFF2-40B4-BE49-F238E27FC236}">
              <a16:creationId xmlns:a16="http://schemas.microsoft.com/office/drawing/2014/main" id="{00000000-0008-0000-0000-00001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7" name="AutoShape 18">
          <a:extLst>
            <a:ext uri="{FF2B5EF4-FFF2-40B4-BE49-F238E27FC236}">
              <a16:creationId xmlns:a16="http://schemas.microsoft.com/office/drawing/2014/main" id="{00000000-0008-0000-0000-00001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8" name="AutoShape 16">
          <a:extLst>
            <a:ext uri="{FF2B5EF4-FFF2-40B4-BE49-F238E27FC236}">
              <a16:creationId xmlns:a16="http://schemas.microsoft.com/office/drawing/2014/main" id="{00000000-0008-0000-0000-00002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89" name="AutoShape 14">
          <a:extLst>
            <a:ext uri="{FF2B5EF4-FFF2-40B4-BE49-F238E27FC236}">
              <a16:creationId xmlns:a16="http://schemas.microsoft.com/office/drawing/2014/main" id="{00000000-0008-0000-0000-00002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0" name="AutoShape 12">
          <a:extLst>
            <a:ext uri="{FF2B5EF4-FFF2-40B4-BE49-F238E27FC236}">
              <a16:creationId xmlns:a16="http://schemas.microsoft.com/office/drawing/2014/main" id="{00000000-0008-0000-0000-00002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1" name="AutoShape 10">
          <a:extLst>
            <a:ext uri="{FF2B5EF4-FFF2-40B4-BE49-F238E27FC236}">
              <a16:creationId xmlns:a16="http://schemas.microsoft.com/office/drawing/2014/main" id="{00000000-0008-0000-0000-00002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2" name="AutoShape 8">
          <a:extLst>
            <a:ext uri="{FF2B5EF4-FFF2-40B4-BE49-F238E27FC236}">
              <a16:creationId xmlns:a16="http://schemas.microsoft.com/office/drawing/2014/main" id="{00000000-0008-0000-0000-00002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3" name="AutoShape 4">
          <a:extLst>
            <a:ext uri="{FF2B5EF4-FFF2-40B4-BE49-F238E27FC236}">
              <a16:creationId xmlns:a16="http://schemas.microsoft.com/office/drawing/2014/main" id="{00000000-0008-0000-0000-00002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4" name="AutoShape 2">
          <a:extLst>
            <a:ext uri="{FF2B5EF4-FFF2-40B4-BE49-F238E27FC236}">
              <a16:creationId xmlns:a16="http://schemas.microsoft.com/office/drawing/2014/main" id="{00000000-0008-0000-0000-00002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5" name="AutoShape 28">
          <a:extLst>
            <a:ext uri="{FF2B5EF4-FFF2-40B4-BE49-F238E27FC236}">
              <a16:creationId xmlns:a16="http://schemas.microsoft.com/office/drawing/2014/main" id="{00000000-0008-0000-0000-00002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6" name="AutoShape 26">
          <a:extLst>
            <a:ext uri="{FF2B5EF4-FFF2-40B4-BE49-F238E27FC236}">
              <a16:creationId xmlns:a16="http://schemas.microsoft.com/office/drawing/2014/main" id="{00000000-0008-0000-0000-00002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7" name="AutoShape 24">
          <a:extLst>
            <a:ext uri="{FF2B5EF4-FFF2-40B4-BE49-F238E27FC236}">
              <a16:creationId xmlns:a16="http://schemas.microsoft.com/office/drawing/2014/main" id="{00000000-0008-0000-0000-00002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8" name="AutoShape 22">
          <a:extLst>
            <a:ext uri="{FF2B5EF4-FFF2-40B4-BE49-F238E27FC236}">
              <a16:creationId xmlns:a16="http://schemas.microsoft.com/office/drawing/2014/main" id="{00000000-0008-0000-0000-00002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299" name="AutoShape 20">
          <a:extLst>
            <a:ext uri="{FF2B5EF4-FFF2-40B4-BE49-F238E27FC236}">
              <a16:creationId xmlns:a16="http://schemas.microsoft.com/office/drawing/2014/main" id="{00000000-0008-0000-0000-00002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0" name="AutoShape 18">
          <a:extLst>
            <a:ext uri="{FF2B5EF4-FFF2-40B4-BE49-F238E27FC236}">
              <a16:creationId xmlns:a16="http://schemas.microsoft.com/office/drawing/2014/main" id="{00000000-0008-0000-0000-00002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1" name="AutoShape 16">
          <a:extLst>
            <a:ext uri="{FF2B5EF4-FFF2-40B4-BE49-F238E27FC236}">
              <a16:creationId xmlns:a16="http://schemas.microsoft.com/office/drawing/2014/main" id="{00000000-0008-0000-0000-00002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2" name="AutoShape 14">
          <a:extLst>
            <a:ext uri="{FF2B5EF4-FFF2-40B4-BE49-F238E27FC236}">
              <a16:creationId xmlns:a16="http://schemas.microsoft.com/office/drawing/2014/main" id="{00000000-0008-0000-0000-00002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3" name="AutoShape 12">
          <a:extLst>
            <a:ext uri="{FF2B5EF4-FFF2-40B4-BE49-F238E27FC236}">
              <a16:creationId xmlns:a16="http://schemas.microsoft.com/office/drawing/2014/main" id="{00000000-0008-0000-0000-00002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4" name="AutoShape 10">
          <a:extLst>
            <a:ext uri="{FF2B5EF4-FFF2-40B4-BE49-F238E27FC236}">
              <a16:creationId xmlns:a16="http://schemas.microsoft.com/office/drawing/2014/main" id="{00000000-0008-0000-0000-00003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5" name="AutoShape 8">
          <a:extLst>
            <a:ext uri="{FF2B5EF4-FFF2-40B4-BE49-F238E27FC236}">
              <a16:creationId xmlns:a16="http://schemas.microsoft.com/office/drawing/2014/main" id="{00000000-0008-0000-0000-00003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6" name="AutoShape 4">
          <a:extLst>
            <a:ext uri="{FF2B5EF4-FFF2-40B4-BE49-F238E27FC236}">
              <a16:creationId xmlns:a16="http://schemas.microsoft.com/office/drawing/2014/main" id="{00000000-0008-0000-0000-00003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7" name="AutoShape 2">
          <a:extLst>
            <a:ext uri="{FF2B5EF4-FFF2-40B4-BE49-F238E27FC236}">
              <a16:creationId xmlns:a16="http://schemas.microsoft.com/office/drawing/2014/main" id="{00000000-0008-0000-0000-00003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8" name="AutoShape 28">
          <a:extLst>
            <a:ext uri="{FF2B5EF4-FFF2-40B4-BE49-F238E27FC236}">
              <a16:creationId xmlns:a16="http://schemas.microsoft.com/office/drawing/2014/main" id="{00000000-0008-0000-0000-00003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09" name="AutoShape 26">
          <a:extLst>
            <a:ext uri="{FF2B5EF4-FFF2-40B4-BE49-F238E27FC236}">
              <a16:creationId xmlns:a16="http://schemas.microsoft.com/office/drawing/2014/main" id="{00000000-0008-0000-0000-00003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0" name="AutoShape 24">
          <a:extLst>
            <a:ext uri="{FF2B5EF4-FFF2-40B4-BE49-F238E27FC236}">
              <a16:creationId xmlns:a16="http://schemas.microsoft.com/office/drawing/2014/main" id="{00000000-0008-0000-0000-00003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1" name="AutoShape 22">
          <a:extLst>
            <a:ext uri="{FF2B5EF4-FFF2-40B4-BE49-F238E27FC236}">
              <a16:creationId xmlns:a16="http://schemas.microsoft.com/office/drawing/2014/main" id="{00000000-0008-0000-0000-00003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2" name="AutoShape 20">
          <a:extLst>
            <a:ext uri="{FF2B5EF4-FFF2-40B4-BE49-F238E27FC236}">
              <a16:creationId xmlns:a16="http://schemas.microsoft.com/office/drawing/2014/main" id="{00000000-0008-0000-0000-00003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3" name="AutoShape 18">
          <a:extLst>
            <a:ext uri="{FF2B5EF4-FFF2-40B4-BE49-F238E27FC236}">
              <a16:creationId xmlns:a16="http://schemas.microsoft.com/office/drawing/2014/main" id="{00000000-0008-0000-0000-00003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4" name="AutoShape 16">
          <a:extLst>
            <a:ext uri="{FF2B5EF4-FFF2-40B4-BE49-F238E27FC236}">
              <a16:creationId xmlns:a16="http://schemas.microsoft.com/office/drawing/2014/main" id="{00000000-0008-0000-0000-00003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5" name="AutoShape 14">
          <a:extLst>
            <a:ext uri="{FF2B5EF4-FFF2-40B4-BE49-F238E27FC236}">
              <a16:creationId xmlns:a16="http://schemas.microsoft.com/office/drawing/2014/main" id="{00000000-0008-0000-0000-00003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6" name="AutoShape 12">
          <a:extLst>
            <a:ext uri="{FF2B5EF4-FFF2-40B4-BE49-F238E27FC236}">
              <a16:creationId xmlns:a16="http://schemas.microsoft.com/office/drawing/2014/main" id="{00000000-0008-0000-0000-00003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7" name="AutoShape 10">
          <a:extLst>
            <a:ext uri="{FF2B5EF4-FFF2-40B4-BE49-F238E27FC236}">
              <a16:creationId xmlns:a16="http://schemas.microsoft.com/office/drawing/2014/main" id="{00000000-0008-0000-0000-00003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8" name="AutoShape 8">
          <a:extLst>
            <a:ext uri="{FF2B5EF4-FFF2-40B4-BE49-F238E27FC236}">
              <a16:creationId xmlns:a16="http://schemas.microsoft.com/office/drawing/2014/main" id="{00000000-0008-0000-0000-00003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19" name="AutoShape 4">
          <a:extLst>
            <a:ext uri="{FF2B5EF4-FFF2-40B4-BE49-F238E27FC236}">
              <a16:creationId xmlns:a16="http://schemas.microsoft.com/office/drawing/2014/main" id="{00000000-0008-0000-0000-00003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0" name="AutoShape 2">
          <a:extLst>
            <a:ext uri="{FF2B5EF4-FFF2-40B4-BE49-F238E27FC236}">
              <a16:creationId xmlns:a16="http://schemas.microsoft.com/office/drawing/2014/main" id="{00000000-0008-0000-0000-00004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1" name="AutoShape 28">
          <a:extLst>
            <a:ext uri="{FF2B5EF4-FFF2-40B4-BE49-F238E27FC236}">
              <a16:creationId xmlns:a16="http://schemas.microsoft.com/office/drawing/2014/main" id="{00000000-0008-0000-0000-00004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2" name="AutoShape 26">
          <a:extLst>
            <a:ext uri="{FF2B5EF4-FFF2-40B4-BE49-F238E27FC236}">
              <a16:creationId xmlns:a16="http://schemas.microsoft.com/office/drawing/2014/main" id="{00000000-0008-0000-0000-00004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3" name="AutoShape 24">
          <a:extLst>
            <a:ext uri="{FF2B5EF4-FFF2-40B4-BE49-F238E27FC236}">
              <a16:creationId xmlns:a16="http://schemas.microsoft.com/office/drawing/2014/main" id="{00000000-0008-0000-0000-00004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4" name="AutoShape 22">
          <a:extLst>
            <a:ext uri="{FF2B5EF4-FFF2-40B4-BE49-F238E27FC236}">
              <a16:creationId xmlns:a16="http://schemas.microsoft.com/office/drawing/2014/main" id="{00000000-0008-0000-0000-00004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5" name="AutoShape 20">
          <a:extLst>
            <a:ext uri="{FF2B5EF4-FFF2-40B4-BE49-F238E27FC236}">
              <a16:creationId xmlns:a16="http://schemas.microsoft.com/office/drawing/2014/main" id="{00000000-0008-0000-0000-00004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6" name="AutoShape 18">
          <a:extLst>
            <a:ext uri="{FF2B5EF4-FFF2-40B4-BE49-F238E27FC236}">
              <a16:creationId xmlns:a16="http://schemas.microsoft.com/office/drawing/2014/main" id="{00000000-0008-0000-0000-00004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7" name="AutoShape 16">
          <a:extLst>
            <a:ext uri="{FF2B5EF4-FFF2-40B4-BE49-F238E27FC236}">
              <a16:creationId xmlns:a16="http://schemas.microsoft.com/office/drawing/2014/main" id="{00000000-0008-0000-0000-00004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8" name="AutoShape 14">
          <a:extLst>
            <a:ext uri="{FF2B5EF4-FFF2-40B4-BE49-F238E27FC236}">
              <a16:creationId xmlns:a16="http://schemas.microsoft.com/office/drawing/2014/main" id="{00000000-0008-0000-0000-00004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29" name="AutoShape 12">
          <a:extLst>
            <a:ext uri="{FF2B5EF4-FFF2-40B4-BE49-F238E27FC236}">
              <a16:creationId xmlns:a16="http://schemas.microsoft.com/office/drawing/2014/main" id="{00000000-0008-0000-0000-00004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0" name="AutoShape 10">
          <a:extLst>
            <a:ext uri="{FF2B5EF4-FFF2-40B4-BE49-F238E27FC236}">
              <a16:creationId xmlns:a16="http://schemas.microsoft.com/office/drawing/2014/main" id="{00000000-0008-0000-0000-00004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1" name="AutoShape 8">
          <a:extLst>
            <a:ext uri="{FF2B5EF4-FFF2-40B4-BE49-F238E27FC236}">
              <a16:creationId xmlns:a16="http://schemas.microsoft.com/office/drawing/2014/main" id="{00000000-0008-0000-0000-00004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2" name="AutoShape 4">
          <a:extLst>
            <a:ext uri="{FF2B5EF4-FFF2-40B4-BE49-F238E27FC236}">
              <a16:creationId xmlns:a16="http://schemas.microsoft.com/office/drawing/2014/main" id="{00000000-0008-0000-0000-00004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3" name="AutoShape 2">
          <a:extLst>
            <a:ext uri="{FF2B5EF4-FFF2-40B4-BE49-F238E27FC236}">
              <a16:creationId xmlns:a16="http://schemas.microsoft.com/office/drawing/2014/main" id="{00000000-0008-0000-0000-00004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4" name="AutoShape 28">
          <a:extLst>
            <a:ext uri="{FF2B5EF4-FFF2-40B4-BE49-F238E27FC236}">
              <a16:creationId xmlns:a16="http://schemas.microsoft.com/office/drawing/2014/main" id="{00000000-0008-0000-0000-00004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5" name="AutoShape 26">
          <a:extLst>
            <a:ext uri="{FF2B5EF4-FFF2-40B4-BE49-F238E27FC236}">
              <a16:creationId xmlns:a16="http://schemas.microsoft.com/office/drawing/2014/main" id="{00000000-0008-0000-0000-00004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6" name="AutoShape 24">
          <a:extLst>
            <a:ext uri="{FF2B5EF4-FFF2-40B4-BE49-F238E27FC236}">
              <a16:creationId xmlns:a16="http://schemas.microsoft.com/office/drawing/2014/main" id="{00000000-0008-0000-0000-00005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7" name="AutoShape 22">
          <a:extLst>
            <a:ext uri="{FF2B5EF4-FFF2-40B4-BE49-F238E27FC236}">
              <a16:creationId xmlns:a16="http://schemas.microsoft.com/office/drawing/2014/main" id="{00000000-0008-0000-0000-00005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8" name="AutoShape 20">
          <a:extLst>
            <a:ext uri="{FF2B5EF4-FFF2-40B4-BE49-F238E27FC236}">
              <a16:creationId xmlns:a16="http://schemas.microsoft.com/office/drawing/2014/main" id="{00000000-0008-0000-0000-00005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39" name="AutoShape 18">
          <a:extLst>
            <a:ext uri="{FF2B5EF4-FFF2-40B4-BE49-F238E27FC236}">
              <a16:creationId xmlns:a16="http://schemas.microsoft.com/office/drawing/2014/main" id="{00000000-0008-0000-0000-00005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0" name="AutoShape 16">
          <a:extLst>
            <a:ext uri="{FF2B5EF4-FFF2-40B4-BE49-F238E27FC236}">
              <a16:creationId xmlns:a16="http://schemas.microsoft.com/office/drawing/2014/main" id="{00000000-0008-0000-0000-00005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1" name="AutoShape 14">
          <a:extLst>
            <a:ext uri="{FF2B5EF4-FFF2-40B4-BE49-F238E27FC236}">
              <a16:creationId xmlns:a16="http://schemas.microsoft.com/office/drawing/2014/main" id="{00000000-0008-0000-0000-00005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2" name="AutoShape 12">
          <a:extLst>
            <a:ext uri="{FF2B5EF4-FFF2-40B4-BE49-F238E27FC236}">
              <a16:creationId xmlns:a16="http://schemas.microsoft.com/office/drawing/2014/main" id="{00000000-0008-0000-0000-00005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3" name="AutoShape 10">
          <a:extLst>
            <a:ext uri="{FF2B5EF4-FFF2-40B4-BE49-F238E27FC236}">
              <a16:creationId xmlns:a16="http://schemas.microsoft.com/office/drawing/2014/main" id="{00000000-0008-0000-0000-00005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4" name="AutoShape 8">
          <a:extLst>
            <a:ext uri="{FF2B5EF4-FFF2-40B4-BE49-F238E27FC236}">
              <a16:creationId xmlns:a16="http://schemas.microsoft.com/office/drawing/2014/main" id="{00000000-0008-0000-0000-00005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5" name="AutoShape 4">
          <a:extLst>
            <a:ext uri="{FF2B5EF4-FFF2-40B4-BE49-F238E27FC236}">
              <a16:creationId xmlns:a16="http://schemas.microsoft.com/office/drawing/2014/main" id="{00000000-0008-0000-0000-00005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6" name="AutoShape 2">
          <a:extLst>
            <a:ext uri="{FF2B5EF4-FFF2-40B4-BE49-F238E27FC236}">
              <a16:creationId xmlns:a16="http://schemas.microsoft.com/office/drawing/2014/main" id="{00000000-0008-0000-0000-00005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7" name="AutoShape 28">
          <a:extLst>
            <a:ext uri="{FF2B5EF4-FFF2-40B4-BE49-F238E27FC236}">
              <a16:creationId xmlns:a16="http://schemas.microsoft.com/office/drawing/2014/main" id="{00000000-0008-0000-0000-00005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8" name="AutoShape 26">
          <a:extLst>
            <a:ext uri="{FF2B5EF4-FFF2-40B4-BE49-F238E27FC236}">
              <a16:creationId xmlns:a16="http://schemas.microsoft.com/office/drawing/2014/main" id="{00000000-0008-0000-0000-00005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49" name="AutoShape 24">
          <a:extLst>
            <a:ext uri="{FF2B5EF4-FFF2-40B4-BE49-F238E27FC236}">
              <a16:creationId xmlns:a16="http://schemas.microsoft.com/office/drawing/2014/main" id="{00000000-0008-0000-0000-00005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0" name="AutoShape 22">
          <a:extLst>
            <a:ext uri="{FF2B5EF4-FFF2-40B4-BE49-F238E27FC236}">
              <a16:creationId xmlns:a16="http://schemas.microsoft.com/office/drawing/2014/main" id="{00000000-0008-0000-0000-00005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1" name="AutoShape 20">
          <a:extLst>
            <a:ext uri="{FF2B5EF4-FFF2-40B4-BE49-F238E27FC236}">
              <a16:creationId xmlns:a16="http://schemas.microsoft.com/office/drawing/2014/main" id="{00000000-0008-0000-0000-00005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2" name="AutoShape 18">
          <a:extLst>
            <a:ext uri="{FF2B5EF4-FFF2-40B4-BE49-F238E27FC236}">
              <a16:creationId xmlns:a16="http://schemas.microsoft.com/office/drawing/2014/main" id="{00000000-0008-0000-0000-00006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3" name="AutoShape 16">
          <a:extLst>
            <a:ext uri="{FF2B5EF4-FFF2-40B4-BE49-F238E27FC236}">
              <a16:creationId xmlns:a16="http://schemas.microsoft.com/office/drawing/2014/main" id="{00000000-0008-0000-0000-00006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4" name="AutoShape 14">
          <a:extLst>
            <a:ext uri="{FF2B5EF4-FFF2-40B4-BE49-F238E27FC236}">
              <a16:creationId xmlns:a16="http://schemas.microsoft.com/office/drawing/2014/main" id="{00000000-0008-0000-0000-00006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5" name="AutoShape 12">
          <a:extLst>
            <a:ext uri="{FF2B5EF4-FFF2-40B4-BE49-F238E27FC236}">
              <a16:creationId xmlns:a16="http://schemas.microsoft.com/office/drawing/2014/main" id="{00000000-0008-0000-0000-00006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6" name="AutoShape 10">
          <a:extLst>
            <a:ext uri="{FF2B5EF4-FFF2-40B4-BE49-F238E27FC236}">
              <a16:creationId xmlns:a16="http://schemas.microsoft.com/office/drawing/2014/main" id="{00000000-0008-0000-0000-00006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7" name="AutoShape 8">
          <a:extLst>
            <a:ext uri="{FF2B5EF4-FFF2-40B4-BE49-F238E27FC236}">
              <a16:creationId xmlns:a16="http://schemas.microsoft.com/office/drawing/2014/main" id="{00000000-0008-0000-0000-00006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8" name="AutoShape 4">
          <a:extLst>
            <a:ext uri="{FF2B5EF4-FFF2-40B4-BE49-F238E27FC236}">
              <a16:creationId xmlns:a16="http://schemas.microsoft.com/office/drawing/2014/main" id="{00000000-0008-0000-0000-00006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59" name="AutoShape 2">
          <a:extLst>
            <a:ext uri="{FF2B5EF4-FFF2-40B4-BE49-F238E27FC236}">
              <a16:creationId xmlns:a16="http://schemas.microsoft.com/office/drawing/2014/main" id="{00000000-0008-0000-0000-00006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0" name="AutoShape 28">
          <a:extLst>
            <a:ext uri="{FF2B5EF4-FFF2-40B4-BE49-F238E27FC236}">
              <a16:creationId xmlns:a16="http://schemas.microsoft.com/office/drawing/2014/main" id="{00000000-0008-0000-0000-00006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1" name="AutoShape 26">
          <a:extLst>
            <a:ext uri="{FF2B5EF4-FFF2-40B4-BE49-F238E27FC236}">
              <a16:creationId xmlns:a16="http://schemas.microsoft.com/office/drawing/2014/main" id="{00000000-0008-0000-0000-00006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2" name="AutoShape 24">
          <a:extLst>
            <a:ext uri="{FF2B5EF4-FFF2-40B4-BE49-F238E27FC236}">
              <a16:creationId xmlns:a16="http://schemas.microsoft.com/office/drawing/2014/main" id="{00000000-0008-0000-0000-00006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3" name="AutoShape 22">
          <a:extLst>
            <a:ext uri="{FF2B5EF4-FFF2-40B4-BE49-F238E27FC236}">
              <a16:creationId xmlns:a16="http://schemas.microsoft.com/office/drawing/2014/main" id="{00000000-0008-0000-0000-00006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4" name="AutoShape 20">
          <a:extLst>
            <a:ext uri="{FF2B5EF4-FFF2-40B4-BE49-F238E27FC236}">
              <a16:creationId xmlns:a16="http://schemas.microsoft.com/office/drawing/2014/main" id="{00000000-0008-0000-0000-00006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5" name="AutoShape 18">
          <a:extLst>
            <a:ext uri="{FF2B5EF4-FFF2-40B4-BE49-F238E27FC236}">
              <a16:creationId xmlns:a16="http://schemas.microsoft.com/office/drawing/2014/main" id="{00000000-0008-0000-0000-00006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6" name="AutoShape 16">
          <a:extLst>
            <a:ext uri="{FF2B5EF4-FFF2-40B4-BE49-F238E27FC236}">
              <a16:creationId xmlns:a16="http://schemas.microsoft.com/office/drawing/2014/main" id="{00000000-0008-0000-0000-00006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7" name="AutoShape 14">
          <a:extLst>
            <a:ext uri="{FF2B5EF4-FFF2-40B4-BE49-F238E27FC236}">
              <a16:creationId xmlns:a16="http://schemas.microsoft.com/office/drawing/2014/main" id="{00000000-0008-0000-0000-00006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8" name="AutoShape 12">
          <a:extLst>
            <a:ext uri="{FF2B5EF4-FFF2-40B4-BE49-F238E27FC236}">
              <a16:creationId xmlns:a16="http://schemas.microsoft.com/office/drawing/2014/main" id="{00000000-0008-0000-0000-00007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69" name="AutoShape 10">
          <a:extLst>
            <a:ext uri="{FF2B5EF4-FFF2-40B4-BE49-F238E27FC236}">
              <a16:creationId xmlns:a16="http://schemas.microsoft.com/office/drawing/2014/main" id="{00000000-0008-0000-0000-00007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0" name="AutoShape 8">
          <a:extLst>
            <a:ext uri="{FF2B5EF4-FFF2-40B4-BE49-F238E27FC236}">
              <a16:creationId xmlns:a16="http://schemas.microsoft.com/office/drawing/2014/main" id="{00000000-0008-0000-0000-00007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1" name="AutoShape 4">
          <a:extLst>
            <a:ext uri="{FF2B5EF4-FFF2-40B4-BE49-F238E27FC236}">
              <a16:creationId xmlns:a16="http://schemas.microsoft.com/office/drawing/2014/main" id="{00000000-0008-0000-0000-00007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2" name="AutoShape 2">
          <a:extLst>
            <a:ext uri="{FF2B5EF4-FFF2-40B4-BE49-F238E27FC236}">
              <a16:creationId xmlns:a16="http://schemas.microsoft.com/office/drawing/2014/main" id="{00000000-0008-0000-0000-00007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3" name="AutoShape 28">
          <a:extLst>
            <a:ext uri="{FF2B5EF4-FFF2-40B4-BE49-F238E27FC236}">
              <a16:creationId xmlns:a16="http://schemas.microsoft.com/office/drawing/2014/main" id="{00000000-0008-0000-0000-00007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4" name="AutoShape 26">
          <a:extLst>
            <a:ext uri="{FF2B5EF4-FFF2-40B4-BE49-F238E27FC236}">
              <a16:creationId xmlns:a16="http://schemas.microsoft.com/office/drawing/2014/main" id="{00000000-0008-0000-0000-00007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5" name="AutoShape 24">
          <a:extLst>
            <a:ext uri="{FF2B5EF4-FFF2-40B4-BE49-F238E27FC236}">
              <a16:creationId xmlns:a16="http://schemas.microsoft.com/office/drawing/2014/main" id="{00000000-0008-0000-0000-00007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6" name="AutoShape 22">
          <a:extLst>
            <a:ext uri="{FF2B5EF4-FFF2-40B4-BE49-F238E27FC236}">
              <a16:creationId xmlns:a16="http://schemas.microsoft.com/office/drawing/2014/main" id="{00000000-0008-0000-0000-00007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7" name="AutoShape 20">
          <a:extLst>
            <a:ext uri="{FF2B5EF4-FFF2-40B4-BE49-F238E27FC236}">
              <a16:creationId xmlns:a16="http://schemas.microsoft.com/office/drawing/2014/main" id="{00000000-0008-0000-0000-00007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8" name="AutoShape 18">
          <a:extLst>
            <a:ext uri="{FF2B5EF4-FFF2-40B4-BE49-F238E27FC236}">
              <a16:creationId xmlns:a16="http://schemas.microsoft.com/office/drawing/2014/main" id="{00000000-0008-0000-0000-00007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79" name="AutoShape 16">
          <a:extLst>
            <a:ext uri="{FF2B5EF4-FFF2-40B4-BE49-F238E27FC236}">
              <a16:creationId xmlns:a16="http://schemas.microsoft.com/office/drawing/2014/main" id="{00000000-0008-0000-0000-00007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0" name="AutoShape 14">
          <a:extLst>
            <a:ext uri="{FF2B5EF4-FFF2-40B4-BE49-F238E27FC236}">
              <a16:creationId xmlns:a16="http://schemas.microsoft.com/office/drawing/2014/main" id="{00000000-0008-0000-0000-00007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1" name="AutoShape 12">
          <a:extLst>
            <a:ext uri="{FF2B5EF4-FFF2-40B4-BE49-F238E27FC236}">
              <a16:creationId xmlns:a16="http://schemas.microsoft.com/office/drawing/2014/main" id="{00000000-0008-0000-0000-00007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2" name="AutoShape 10">
          <a:extLst>
            <a:ext uri="{FF2B5EF4-FFF2-40B4-BE49-F238E27FC236}">
              <a16:creationId xmlns:a16="http://schemas.microsoft.com/office/drawing/2014/main" id="{00000000-0008-0000-0000-00007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3" name="AutoShape 8">
          <a:extLst>
            <a:ext uri="{FF2B5EF4-FFF2-40B4-BE49-F238E27FC236}">
              <a16:creationId xmlns:a16="http://schemas.microsoft.com/office/drawing/2014/main" id="{00000000-0008-0000-0000-00007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4" name="AutoShape 4">
          <a:extLst>
            <a:ext uri="{FF2B5EF4-FFF2-40B4-BE49-F238E27FC236}">
              <a16:creationId xmlns:a16="http://schemas.microsoft.com/office/drawing/2014/main" id="{00000000-0008-0000-0000-00008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5" name="AutoShape 2">
          <a:extLst>
            <a:ext uri="{FF2B5EF4-FFF2-40B4-BE49-F238E27FC236}">
              <a16:creationId xmlns:a16="http://schemas.microsoft.com/office/drawing/2014/main" id="{00000000-0008-0000-0000-00008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6" name="AutoShape 28">
          <a:extLst>
            <a:ext uri="{FF2B5EF4-FFF2-40B4-BE49-F238E27FC236}">
              <a16:creationId xmlns:a16="http://schemas.microsoft.com/office/drawing/2014/main" id="{00000000-0008-0000-0000-00008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7" name="AutoShape 26">
          <a:extLst>
            <a:ext uri="{FF2B5EF4-FFF2-40B4-BE49-F238E27FC236}">
              <a16:creationId xmlns:a16="http://schemas.microsoft.com/office/drawing/2014/main" id="{00000000-0008-0000-0000-00008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8" name="AutoShape 24">
          <a:extLst>
            <a:ext uri="{FF2B5EF4-FFF2-40B4-BE49-F238E27FC236}">
              <a16:creationId xmlns:a16="http://schemas.microsoft.com/office/drawing/2014/main" id="{00000000-0008-0000-0000-00008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89" name="AutoShape 22">
          <a:extLst>
            <a:ext uri="{FF2B5EF4-FFF2-40B4-BE49-F238E27FC236}">
              <a16:creationId xmlns:a16="http://schemas.microsoft.com/office/drawing/2014/main" id="{00000000-0008-0000-0000-00008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0" name="AutoShape 20">
          <a:extLst>
            <a:ext uri="{FF2B5EF4-FFF2-40B4-BE49-F238E27FC236}">
              <a16:creationId xmlns:a16="http://schemas.microsoft.com/office/drawing/2014/main" id="{00000000-0008-0000-0000-00008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1" name="AutoShape 18">
          <a:extLst>
            <a:ext uri="{FF2B5EF4-FFF2-40B4-BE49-F238E27FC236}">
              <a16:creationId xmlns:a16="http://schemas.microsoft.com/office/drawing/2014/main" id="{00000000-0008-0000-0000-00008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2" name="AutoShape 16">
          <a:extLst>
            <a:ext uri="{FF2B5EF4-FFF2-40B4-BE49-F238E27FC236}">
              <a16:creationId xmlns:a16="http://schemas.microsoft.com/office/drawing/2014/main" id="{00000000-0008-0000-0000-00008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3" name="AutoShape 14">
          <a:extLst>
            <a:ext uri="{FF2B5EF4-FFF2-40B4-BE49-F238E27FC236}">
              <a16:creationId xmlns:a16="http://schemas.microsoft.com/office/drawing/2014/main" id="{00000000-0008-0000-0000-00008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4" name="AutoShape 12">
          <a:extLst>
            <a:ext uri="{FF2B5EF4-FFF2-40B4-BE49-F238E27FC236}">
              <a16:creationId xmlns:a16="http://schemas.microsoft.com/office/drawing/2014/main" id="{00000000-0008-0000-0000-00008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5" name="AutoShape 10">
          <a:extLst>
            <a:ext uri="{FF2B5EF4-FFF2-40B4-BE49-F238E27FC236}">
              <a16:creationId xmlns:a16="http://schemas.microsoft.com/office/drawing/2014/main" id="{00000000-0008-0000-0000-00008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6" name="AutoShape 8">
          <a:extLst>
            <a:ext uri="{FF2B5EF4-FFF2-40B4-BE49-F238E27FC236}">
              <a16:creationId xmlns:a16="http://schemas.microsoft.com/office/drawing/2014/main" id="{00000000-0008-0000-0000-00008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7" name="AutoShape 4">
          <a:extLst>
            <a:ext uri="{FF2B5EF4-FFF2-40B4-BE49-F238E27FC236}">
              <a16:creationId xmlns:a16="http://schemas.microsoft.com/office/drawing/2014/main" id="{00000000-0008-0000-0000-00008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8" name="AutoShape 2">
          <a:extLst>
            <a:ext uri="{FF2B5EF4-FFF2-40B4-BE49-F238E27FC236}">
              <a16:creationId xmlns:a16="http://schemas.microsoft.com/office/drawing/2014/main" id="{00000000-0008-0000-0000-00008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399" name="AutoShape 28">
          <a:extLst>
            <a:ext uri="{FF2B5EF4-FFF2-40B4-BE49-F238E27FC236}">
              <a16:creationId xmlns:a16="http://schemas.microsoft.com/office/drawing/2014/main" id="{00000000-0008-0000-0000-00008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0" name="AutoShape 26">
          <a:extLst>
            <a:ext uri="{FF2B5EF4-FFF2-40B4-BE49-F238E27FC236}">
              <a16:creationId xmlns:a16="http://schemas.microsoft.com/office/drawing/2014/main" id="{00000000-0008-0000-0000-00009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1" name="AutoShape 24">
          <a:extLst>
            <a:ext uri="{FF2B5EF4-FFF2-40B4-BE49-F238E27FC236}">
              <a16:creationId xmlns:a16="http://schemas.microsoft.com/office/drawing/2014/main" id="{00000000-0008-0000-0000-00009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2" name="AutoShape 22">
          <a:extLst>
            <a:ext uri="{FF2B5EF4-FFF2-40B4-BE49-F238E27FC236}">
              <a16:creationId xmlns:a16="http://schemas.microsoft.com/office/drawing/2014/main" id="{00000000-0008-0000-0000-00009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3" name="AutoShape 20">
          <a:extLst>
            <a:ext uri="{FF2B5EF4-FFF2-40B4-BE49-F238E27FC236}">
              <a16:creationId xmlns:a16="http://schemas.microsoft.com/office/drawing/2014/main" id="{00000000-0008-0000-0000-00009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4" name="AutoShape 18">
          <a:extLst>
            <a:ext uri="{FF2B5EF4-FFF2-40B4-BE49-F238E27FC236}">
              <a16:creationId xmlns:a16="http://schemas.microsoft.com/office/drawing/2014/main" id="{00000000-0008-0000-0000-00009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5" name="AutoShape 16">
          <a:extLst>
            <a:ext uri="{FF2B5EF4-FFF2-40B4-BE49-F238E27FC236}">
              <a16:creationId xmlns:a16="http://schemas.microsoft.com/office/drawing/2014/main" id="{00000000-0008-0000-0000-00009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6" name="AutoShape 14">
          <a:extLst>
            <a:ext uri="{FF2B5EF4-FFF2-40B4-BE49-F238E27FC236}">
              <a16:creationId xmlns:a16="http://schemas.microsoft.com/office/drawing/2014/main" id="{00000000-0008-0000-0000-00009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7" name="AutoShape 12">
          <a:extLst>
            <a:ext uri="{FF2B5EF4-FFF2-40B4-BE49-F238E27FC236}">
              <a16:creationId xmlns:a16="http://schemas.microsoft.com/office/drawing/2014/main" id="{00000000-0008-0000-0000-00009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8" name="AutoShape 10">
          <a:extLst>
            <a:ext uri="{FF2B5EF4-FFF2-40B4-BE49-F238E27FC236}">
              <a16:creationId xmlns:a16="http://schemas.microsoft.com/office/drawing/2014/main" id="{00000000-0008-0000-0000-00009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09" name="AutoShape 8">
          <a:extLst>
            <a:ext uri="{FF2B5EF4-FFF2-40B4-BE49-F238E27FC236}">
              <a16:creationId xmlns:a16="http://schemas.microsoft.com/office/drawing/2014/main" id="{00000000-0008-0000-0000-00009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0" name="AutoShape 4">
          <a:extLst>
            <a:ext uri="{FF2B5EF4-FFF2-40B4-BE49-F238E27FC236}">
              <a16:creationId xmlns:a16="http://schemas.microsoft.com/office/drawing/2014/main" id="{00000000-0008-0000-0000-00009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1" name="AutoShape 2">
          <a:extLst>
            <a:ext uri="{FF2B5EF4-FFF2-40B4-BE49-F238E27FC236}">
              <a16:creationId xmlns:a16="http://schemas.microsoft.com/office/drawing/2014/main" id="{00000000-0008-0000-0000-00009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2" name="AutoShape 28">
          <a:extLst>
            <a:ext uri="{FF2B5EF4-FFF2-40B4-BE49-F238E27FC236}">
              <a16:creationId xmlns:a16="http://schemas.microsoft.com/office/drawing/2014/main" id="{00000000-0008-0000-0000-00009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3" name="AutoShape 26">
          <a:extLst>
            <a:ext uri="{FF2B5EF4-FFF2-40B4-BE49-F238E27FC236}">
              <a16:creationId xmlns:a16="http://schemas.microsoft.com/office/drawing/2014/main" id="{00000000-0008-0000-0000-00009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4" name="AutoShape 24">
          <a:extLst>
            <a:ext uri="{FF2B5EF4-FFF2-40B4-BE49-F238E27FC236}">
              <a16:creationId xmlns:a16="http://schemas.microsoft.com/office/drawing/2014/main" id="{00000000-0008-0000-0000-00009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5" name="AutoShape 22">
          <a:extLst>
            <a:ext uri="{FF2B5EF4-FFF2-40B4-BE49-F238E27FC236}">
              <a16:creationId xmlns:a16="http://schemas.microsoft.com/office/drawing/2014/main" id="{00000000-0008-0000-0000-00009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6" name="AutoShape 20">
          <a:extLst>
            <a:ext uri="{FF2B5EF4-FFF2-40B4-BE49-F238E27FC236}">
              <a16:creationId xmlns:a16="http://schemas.microsoft.com/office/drawing/2014/main" id="{00000000-0008-0000-0000-0000A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7" name="AutoShape 18">
          <a:extLst>
            <a:ext uri="{FF2B5EF4-FFF2-40B4-BE49-F238E27FC236}">
              <a16:creationId xmlns:a16="http://schemas.microsoft.com/office/drawing/2014/main" id="{00000000-0008-0000-0000-0000A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8" name="AutoShape 16">
          <a:extLst>
            <a:ext uri="{FF2B5EF4-FFF2-40B4-BE49-F238E27FC236}">
              <a16:creationId xmlns:a16="http://schemas.microsoft.com/office/drawing/2014/main" id="{00000000-0008-0000-0000-0000A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19" name="AutoShape 14">
          <a:extLst>
            <a:ext uri="{FF2B5EF4-FFF2-40B4-BE49-F238E27FC236}">
              <a16:creationId xmlns:a16="http://schemas.microsoft.com/office/drawing/2014/main" id="{00000000-0008-0000-0000-0000A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0" name="AutoShape 12">
          <a:extLst>
            <a:ext uri="{FF2B5EF4-FFF2-40B4-BE49-F238E27FC236}">
              <a16:creationId xmlns:a16="http://schemas.microsoft.com/office/drawing/2014/main" id="{00000000-0008-0000-0000-0000A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1" name="AutoShape 10">
          <a:extLst>
            <a:ext uri="{FF2B5EF4-FFF2-40B4-BE49-F238E27FC236}">
              <a16:creationId xmlns:a16="http://schemas.microsoft.com/office/drawing/2014/main" id="{00000000-0008-0000-0000-0000A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2" name="AutoShape 8">
          <a:extLst>
            <a:ext uri="{FF2B5EF4-FFF2-40B4-BE49-F238E27FC236}">
              <a16:creationId xmlns:a16="http://schemas.microsoft.com/office/drawing/2014/main" id="{00000000-0008-0000-0000-0000A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3" name="AutoShape 4">
          <a:extLst>
            <a:ext uri="{FF2B5EF4-FFF2-40B4-BE49-F238E27FC236}">
              <a16:creationId xmlns:a16="http://schemas.microsoft.com/office/drawing/2014/main" id="{00000000-0008-0000-0000-0000A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4" name="AutoShape 2">
          <a:extLst>
            <a:ext uri="{FF2B5EF4-FFF2-40B4-BE49-F238E27FC236}">
              <a16:creationId xmlns:a16="http://schemas.microsoft.com/office/drawing/2014/main" id="{00000000-0008-0000-0000-0000A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5" name="AutoShape 28">
          <a:extLst>
            <a:ext uri="{FF2B5EF4-FFF2-40B4-BE49-F238E27FC236}">
              <a16:creationId xmlns:a16="http://schemas.microsoft.com/office/drawing/2014/main" id="{00000000-0008-0000-0000-0000A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6" name="AutoShape 26">
          <a:extLst>
            <a:ext uri="{FF2B5EF4-FFF2-40B4-BE49-F238E27FC236}">
              <a16:creationId xmlns:a16="http://schemas.microsoft.com/office/drawing/2014/main" id="{00000000-0008-0000-0000-0000A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7" name="AutoShape 24">
          <a:extLst>
            <a:ext uri="{FF2B5EF4-FFF2-40B4-BE49-F238E27FC236}">
              <a16:creationId xmlns:a16="http://schemas.microsoft.com/office/drawing/2014/main" id="{00000000-0008-0000-0000-0000A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8" name="AutoShape 22">
          <a:extLst>
            <a:ext uri="{FF2B5EF4-FFF2-40B4-BE49-F238E27FC236}">
              <a16:creationId xmlns:a16="http://schemas.microsoft.com/office/drawing/2014/main" id="{00000000-0008-0000-0000-0000A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29" name="AutoShape 20">
          <a:extLst>
            <a:ext uri="{FF2B5EF4-FFF2-40B4-BE49-F238E27FC236}">
              <a16:creationId xmlns:a16="http://schemas.microsoft.com/office/drawing/2014/main" id="{00000000-0008-0000-0000-0000A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0" name="AutoShape 18">
          <a:extLst>
            <a:ext uri="{FF2B5EF4-FFF2-40B4-BE49-F238E27FC236}">
              <a16:creationId xmlns:a16="http://schemas.microsoft.com/office/drawing/2014/main" id="{00000000-0008-0000-0000-0000A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1" name="AutoShape 16">
          <a:extLst>
            <a:ext uri="{FF2B5EF4-FFF2-40B4-BE49-F238E27FC236}">
              <a16:creationId xmlns:a16="http://schemas.microsoft.com/office/drawing/2014/main" id="{00000000-0008-0000-0000-0000A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2" name="AutoShape 14">
          <a:extLst>
            <a:ext uri="{FF2B5EF4-FFF2-40B4-BE49-F238E27FC236}">
              <a16:creationId xmlns:a16="http://schemas.microsoft.com/office/drawing/2014/main" id="{00000000-0008-0000-0000-0000B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3" name="AutoShape 12">
          <a:extLst>
            <a:ext uri="{FF2B5EF4-FFF2-40B4-BE49-F238E27FC236}">
              <a16:creationId xmlns:a16="http://schemas.microsoft.com/office/drawing/2014/main" id="{00000000-0008-0000-0000-0000B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4" name="AutoShape 10">
          <a:extLst>
            <a:ext uri="{FF2B5EF4-FFF2-40B4-BE49-F238E27FC236}">
              <a16:creationId xmlns:a16="http://schemas.microsoft.com/office/drawing/2014/main" id="{00000000-0008-0000-0000-0000B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5" name="AutoShape 8">
          <a:extLst>
            <a:ext uri="{FF2B5EF4-FFF2-40B4-BE49-F238E27FC236}">
              <a16:creationId xmlns:a16="http://schemas.microsoft.com/office/drawing/2014/main" id="{00000000-0008-0000-0000-0000B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6" name="AutoShape 4">
          <a:extLst>
            <a:ext uri="{FF2B5EF4-FFF2-40B4-BE49-F238E27FC236}">
              <a16:creationId xmlns:a16="http://schemas.microsoft.com/office/drawing/2014/main" id="{00000000-0008-0000-0000-0000B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7" name="AutoShape 2">
          <a:extLst>
            <a:ext uri="{FF2B5EF4-FFF2-40B4-BE49-F238E27FC236}">
              <a16:creationId xmlns:a16="http://schemas.microsoft.com/office/drawing/2014/main" id="{00000000-0008-0000-0000-0000B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8" name="AutoShape 28">
          <a:extLst>
            <a:ext uri="{FF2B5EF4-FFF2-40B4-BE49-F238E27FC236}">
              <a16:creationId xmlns:a16="http://schemas.microsoft.com/office/drawing/2014/main" id="{00000000-0008-0000-0000-0000B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39" name="AutoShape 26">
          <a:extLst>
            <a:ext uri="{FF2B5EF4-FFF2-40B4-BE49-F238E27FC236}">
              <a16:creationId xmlns:a16="http://schemas.microsoft.com/office/drawing/2014/main" id="{00000000-0008-0000-0000-0000B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0" name="AutoShape 24">
          <a:extLst>
            <a:ext uri="{FF2B5EF4-FFF2-40B4-BE49-F238E27FC236}">
              <a16:creationId xmlns:a16="http://schemas.microsoft.com/office/drawing/2014/main" id="{00000000-0008-0000-0000-0000B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1" name="AutoShape 22">
          <a:extLst>
            <a:ext uri="{FF2B5EF4-FFF2-40B4-BE49-F238E27FC236}">
              <a16:creationId xmlns:a16="http://schemas.microsoft.com/office/drawing/2014/main" id="{00000000-0008-0000-0000-0000B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2" name="AutoShape 20">
          <a:extLst>
            <a:ext uri="{FF2B5EF4-FFF2-40B4-BE49-F238E27FC236}">
              <a16:creationId xmlns:a16="http://schemas.microsoft.com/office/drawing/2014/main" id="{00000000-0008-0000-0000-0000B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3" name="AutoShape 18">
          <a:extLst>
            <a:ext uri="{FF2B5EF4-FFF2-40B4-BE49-F238E27FC236}">
              <a16:creationId xmlns:a16="http://schemas.microsoft.com/office/drawing/2014/main" id="{00000000-0008-0000-0000-0000B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4" name="AutoShape 16">
          <a:extLst>
            <a:ext uri="{FF2B5EF4-FFF2-40B4-BE49-F238E27FC236}">
              <a16:creationId xmlns:a16="http://schemas.microsoft.com/office/drawing/2014/main" id="{00000000-0008-0000-0000-0000B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5" name="AutoShape 14">
          <a:extLst>
            <a:ext uri="{FF2B5EF4-FFF2-40B4-BE49-F238E27FC236}">
              <a16:creationId xmlns:a16="http://schemas.microsoft.com/office/drawing/2014/main" id="{00000000-0008-0000-0000-0000B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6" name="AutoShape 12">
          <a:extLst>
            <a:ext uri="{FF2B5EF4-FFF2-40B4-BE49-F238E27FC236}">
              <a16:creationId xmlns:a16="http://schemas.microsoft.com/office/drawing/2014/main" id="{00000000-0008-0000-0000-0000B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7" name="AutoShape 10">
          <a:extLst>
            <a:ext uri="{FF2B5EF4-FFF2-40B4-BE49-F238E27FC236}">
              <a16:creationId xmlns:a16="http://schemas.microsoft.com/office/drawing/2014/main" id="{00000000-0008-0000-0000-0000B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8" name="AutoShape 8">
          <a:extLst>
            <a:ext uri="{FF2B5EF4-FFF2-40B4-BE49-F238E27FC236}">
              <a16:creationId xmlns:a16="http://schemas.microsoft.com/office/drawing/2014/main" id="{00000000-0008-0000-0000-0000C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49" name="AutoShape 4">
          <a:extLst>
            <a:ext uri="{FF2B5EF4-FFF2-40B4-BE49-F238E27FC236}">
              <a16:creationId xmlns:a16="http://schemas.microsoft.com/office/drawing/2014/main" id="{00000000-0008-0000-0000-0000C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0" name="AutoShape 2">
          <a:extLst>
            <a:ext uri="{FF2B5EF4-FFF2-40B4-BE49-F238E27FC236}">
              <a16:creationId xmlns:a16="http://schemas.microsoft.com/office/drawing/2014/main" id="{00000000-0008-0000-0000-0000C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1" name="AutoShape 28">
          <a:extLst>
            <a:ext uri="{FF2B5EF4-FFF2-40B4-BE49-F238E27FC236}">
              <a16:creationId xmlns:a16="http://schemas.microsoft.com/office/drawing/2014/main" id="{00000000-0008-0000-0000-0000C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2" name="AutoShape 26">
          <a:extLst>
            <a:ext uri="{FF2B5EF4-FFF2-40B4-BE49-F238E27FC236}">
              <a16:creationId xmlns:a16="http://schemas.microsoft.com/office/drawing/2014/main" id="{00000000-0008-0000-0000-0000C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3" name="AutoShape 24">
          <a:extLst>
            <a:ext uri="{FF2B5EF4-FFF2-40B4-BE49-F238E27FC236}">
              <a16:creationId xmlns:a16="http://schemas.microsoft.com/office/drawing/2014/main" id="{00000000-0008-0000-0000-0000C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4" name="AutoShape 22">
          <a:extLst>
            <a:ext uri="{FF2B5EF4-FFF2-40B4-BE49-F238E27FC236}">
              <a16:creationId xmlns:a16="http://schemas.microsoft.com/office/drawing/2014/main" id="{00000000-0008-0000-0000-0000C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5" name="AutoShape 20">
          <a:extLst>
            <a:ext uri="{FF2B5EF4-FFF2-40B4-BE49-F238E27FC236}">
              <a16:creationId xmlns:a16="http://schemas.microsoft.com/office/drawing/2014/main" id="{00000000-0008-0000-0000-0000C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6" name="AutoShape 18">
          <a:extLst>
            <a:ext uri="{FF2B5EF4-FFF2-40B4-BE49-F238E27FC236}">
              <a16:creationId xmlns:a16="http://schemas.microsoft.com/office/drawing/2014/main" id="{00000000-0008-0000-0000-0000C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7" name="AutoShape 16">
          <a:extLst>
            <a:ext uri="{FF2B5EF4-FFF2-40B4-BE49-F238E27FC236}">
              <a16:creationId xmlns:a16="http://schemas.microsoft.com/office/drawing/2014/main" id="{00000000-0008-0000-0000-0000C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8" name="AutoShape 14">
          <a:extLst>
            <a:ext uri="{FF2B5EF4-FFF2-40B4-BE49-F238E27FC236}">
              <a16:creationId xmlns:a16="http://schemas.microsoft.com/office/drawing/2014/main" id="{00000000-0008-0000-0000-0000C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59" name="AutoShape 12">
          <a:extLst>
            <a:ext uri="{FF2B5EF4-FFF2-40B4-BE49-F238E27FC236}">
              <a16:creationId xmlns:a16="http://schemas.microsoft.com/office/drawing/2014/main" id="{00000000-0008-0000-0000-0000C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0" name="AutoShape 10">
          <a:extLst>
            <a:ext uri="{FF2B5EF4-FFF2-40B4-BE49-F238E27FC236}">
              <a16:creationId xmlns:a16="http://schemas.microsoft.com/office/drawing/2014/main" id="{00000000-0008-0000-0000-0000C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1" name="AutoShape 8">
          <a:extLst>
            <a:ext uri="{FF2B5EF4-FFF2-40B4-BE49-F238E27FC236}">
              <a16:creationId xmlns:a16="http://schemas.microsoft.com/office/drawing/2014/main" id="{00000000-0008-0000-0000-0000C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2" name="AutoShape 4">
          <a:extLst>
            <a:ext uri="{FF2B5EF4-FFF2-40B4-BE49-F238E27FC236}">
              <a16:creationId xmlns:a16="http://schemas.microsoft.com/office/drawing/2014/main" id="{00000000-0008-0000-0000-0000C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3" name="AutoShape 2">
          <a:extLst>
            <a:ext uri="{FF2B5EF4-FFF2-40B4-BE49-F238E27FC236}">
              <a16:creationId xmlns:a16="http://schemas.microsoft.com/office/drawing/2014/main" id="{00000000-0008-0000-0000-0000C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4" name="AutoShape 28">
          <a:extLst>
            <a:ext uri="{FF2B5EF4-FFF2-40B4-BE49-F238E27FC236}">
              <a16:creationId xmlns:a16="http://schemas.microsoft.com/office/drawing/2014/main" id="{00000000-0008-0000-0000-0000D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5" name="AutoShape 26">
          <a:extLst>
            <a:ext uri="{FF2B5EF4-FFF2-40B4-BE49-F238E27FC236}">
              <a16:creationId xmlns:a16="http://schemas.microsoft.com/office/drawing/2014/main" id="{00000000-0008-0000-0000-0000D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6" name="AutoShape 24">
          <a:extLst>
            <a:ext uri="{FF2B5EF4-FFF2-40B4-BE49-F238E27FC236}">
              <a16:creationId xmlns:a16="http://schemas.microsoft.com/office/drawing/2014/main" id="{00000000-0008-0000-0000-0000D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7" name="AutoShape 22">
          <a:extLst>
            <a:ext uri="{FF2B5EF4-FFF2-40B4-BE49-F238E27FC236}">
              <a16:creationId xmlns:a16="http://schemas.microsoft.com/office/drawing/2014/main" id="{00000000-0008-0000-0000-0000D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8" name="AutoShape 20">
          <a:extLst>
            <a:ext uri="{FF2B5EF4-FFF2-40B4-BE49-F238E27FC236}">
              <a16:creationId xmlns:a16="http://schemas.microsoft.com/office/drawing/2014/main" id="{00000000-0008-0000-0000-0000D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69" name="AutoShape 18">
          <a:extLst>
            <a:ext uri="{FF2B5EF4-FFF2-40B4-BE49-F238E27FC236}">
              <a16:creationId xmlns:a16="http://schemas.microsoft.com/office/drawing/2014/main" id="{00000000-0008-0000-0000-0000D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0" name="AutoShape 16">
          <a:extLst>
            <a:ext uri="{FF2B5EF4-FFF2-40B4-BE49-F238E27FC236}">
              <a16:creationId xmlns:a16="http://schemas.microsoft.com/office/drawing/2014/main" id="{00000000-0008-0000-0000-0000D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1" name="AutoShape 14">
          <a:extLst>
            <a:ext uri="{FF2B5EF4-FFF2-40B4-BE49-F238E27FC236}">
              <a16:creationId xmlns:a16="http://schemas.microsoft.com/office/drawing/2014/main" id="{00000000-0008-0000-0000-0000D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2" name="AutoShape 12">
          <a:extLst>
            <a:ext uri="{FF2B5EF4-FFF2-40B4-BE49-F238E27FC236}">
              <a16:creationId xmlns:a16="http://schemas.microsoft.com/office/drawing/2014/main" id="{00000000-0008-0000-0000-0000D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3" name="AutoShape 10">
          <a:extLst>
            <a:ext uri="{FF2B5EF4-FFF2-40B4-BE49-F238E27FC236}">
              <a16:creationId xmlns:a16="http://schemas.microsoft.com/office/drawing/2014/main" id="{00000000-0008-0000-0000-0000D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4" name="AutoShape 8">
          <a:extLst>
            <a:ext uri="{FF2B5EF4-FFF2-40B4-BE49-F238E27FC236}">
              <a16:creationId xmlns:a16="http://schemas.microsoft.com/office/drawing/2014/main" id="{00000000-0008-0000-0000-0000D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5" name="AutoShape 4">
          <a:extLst>
            <a:ext uri="{FF2B5EF4-FFF2-40B4-BE49-F238E27FC236}">
              <a16:creationId xmlns:a16="http://schemas.microsoft.com/office/drawing/2014/main" id="{00000000-0008-0000-0000-0000D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6" name="AutoShape 2">
          <a:extLst>
            <a:ext uri="{FF2B5EF4-FFF2-40B4-BE49-F238E27FC236}">
              <a16:creationId xmlns:a16="http://schemas.microsoft.com/office/drawing/2014/main" id="{00000000-0008-0000-0000-0000D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7" name="AutoShape 28">
          <a:extLst>
            <a:ext uri="{FF2B5EF4-FFF2-40B4-BE49-F238E27FC236}">
              <a16:creationId xmlns:a16="http://schemas.microsoft.com/office/drawing/2014/main" id="{00000000-0008-0000-0000-0000D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8" name="AutoShape 26">
          <a:extLst>
            <a:ext uri="{FF2B5EF4-FFF2-40B4-BE49-F238E27FC236}">
              <a16:creationId xmlns:a16="http://schemas.microsoft.com/office/drawing/2014/main" id="{00000000-0008-0000-0000-0000D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79" name="AutoShape 24">
          <a:extLst>
            <a:ext uri="{FF2B5EF4-FFF2-40B4-BE49-F238E27FC236}">
              <a16:creationId xmlns:a16="http://schemas.microsoft.com/office/drawing/2014/main" id="{00000000-0008-0000-0000-0000D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0" name="AutoShape 22">
          <a:extLst>
            <a:ext uri="{FF2B5EF4-FFF2-40B4-BE49-F238E27FC236}">
              <a16:creationId xmlns:a16="http://schemas.microsoft.com/office/drawing/2014/main" id="{00000000-0008-0000-0000-0000E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1" name="AutoShape 20">
          <a:extLst>
            <a:ext uri="{FF2B5EF4-FFF2-40B4-BE49-F238E27FC236}">
              <a16:creationId xmlns:a16="http://schemas.microsoft.com/office/drawing/2014/main" id="{00000000-0008-0000-0000-0000E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2" name="AutoShape 18">
          <a:extLst>
            <a:ext uri="{FF2B5EF4-FFF2-40B4-BE49-F238E27FC236}">
              <a16:creationId xmlns:a16="http://schemas.microsoft.com/office/drawing/2014/main" id="{00000000-0008-0000-0000-0000E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3" name="AutoShape 16">
          <a:extLst>
            <a:ext uri="{FF2B5EF4-FFF2-40B4-BE49-F238E27FC236}">
              <a16:creationId xmlns:a16="http://schemas.microsoft.com/office/drawing/2014/main" id="{00000000-0008-0000-0000-0000E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4" name="AutoShape 14">
          <a:extLst>
            <a:ext uri="{FF2B5EF4-FFF2-40B4-BE49-F238E27FC236}">
              <a16:creationId xmlns:a16="http://schemas.microsoft.com/office/drawing/2014/main" id="{00000000-0008-0000-0000-0000E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5" name="AutoShape 12">
          <a:extLst>
            <a:ext uri="{FF2B5EF4-FFF2-40B4-BE49-F238E27FC236}">
              <a16:creationId xmlns:a16="http://schemas.microsoft.com/office/drawing/2014/main" id="{00000000-0008-0000-0000-0000E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6" name="AutoShape 10">
          <a:extLst>
            <a:ext uri="{FF2B5EF4-FFF2-40B4-BE49-F238E27FC236}">
              <a16:creationId xmlns:a16="http://schemas.microsoft.com/office/drawing/2014/main" id="{00000000-0008-0000-0000-0000E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7" name="AutoShape 8">
          <a:extLst>
            <a:ext uri="{FF2B5EF4-FFF2-40B4-BE49-F238E27FC236}">
              <a16:creationId xmlns:a16="http://schemas.microsoft.com/office/drawing/2014/main" id="{00000000-0008-0000-0000-0000E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8" name="AutoShape 4">
          <a:extLst>
            <a:ext uri="{FF2B5EF4-FFF2-40B4-BE49-F238E27FC236}">
              <a16:creationId xmlns:a16="http://schemas.microsoft.com/office/drawing/2014/main" id="{00000000-0008-0000-0000-0000E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89" name="AutoShape 2">
          <a:extLst>
            <a:ext uri="{FF2B5EF4-FFF2-40B4-BE49-F238E27FC236}">
              <a16:creationId xmlns:a16="http://schemas.microsoft.com/office/drawing/2014/main" id="{00000000-0008-0000-0000-0000E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0" name="AutoShape 28">
          <a:extLst>
            <a:ext uri="{FF2B5EF4-FFF2-40B4-BE49-F238E27FC236}">
              <a16:creationId xmlns:a16="http://schemas.microsoft.com/office/drawing/2014/main" id="{00000000-0008-0000-0000-0000E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1" name="AutoShape 26">
          <a:extLst>
            <a:ext uri="{FF2B5EF4-FFF2-40B4-BE49-F238E27FC236}">
              <a16:creationId xmlns:a16="http://schemas.microsoft.com/office/drawing/2014/main" id="{00000000-0008-0000-0000-0000E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2" name="AutoShape 24">
          <a:extLst>
            <a:ext uri="{FF2B5EF4-FFF2-40B4-BE49-F238E27FC236}">
              <a16:creationId xmlns:a16="http://schemas.microsoft.com/office/drawing/2014/main" id="{00000000-0008-0000-0000-0000E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3" name="AutoShape 22">
          <a:extLst>
            <a:ext uri="{FF2B5EF4-FFF2-40B4-BE49-F238E27FC236}">
              <a16:creationId xmlns:a16="http://schemas.microsoft.com/office/drawing/2014/main" id="{00000000-0008-0000-0000-0000E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4" name="AutoShape 20">
          <a:extLst>
            <a:ext uri="{FF2B5EF4-FFF2-40B4-BE49-F238E27FC236}">
              <a16:creationId xmlns:a16="http://schemas.microsoft.com/office/drawing/2014/main" id="{00000000-0008-0000-0000-0000E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5" name="AutoShape 18">
          <a:extLst>
            <a:ext uri="{FF2B5EF4-FFF2-40B4-BE49-F238E27FC236}">
              <a16:creationId xmlns:a16="http://schemas.microsoft.com/office/drawing/2014/main" id="{00000000-0008-0000-0000-0000E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6" name="AutoShape 16">
          <a:extLst>
            <a:ext uri="{FF2B5EF4-FFF2-40B4-BE49-F238E27FC236}">
              <a16:creationId xmlns:a16="http://schemas.microsoft.com/office/drawing/2014/main" id="{00000000-0008-0000-0000-0000F0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7" name="AutoShape 14">
          <a:extLst>
            <a:ext uri="{FF2B5EF4-FFF2-40B4-BE49-F238E27FC236}">
              <a16:creationId xmlns:a16="http://schemas.microsoft.com/office/drawing/2014/main" id="{00000000-0008-0000-0000-0000F1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8" name="AutoShape 12">
          <a:extLst>
            <a:ext uri="{FF2B5EF4-FFF2-40B4-BE49-F238E27FC236}">
              <a16:creationId xmlns:a16="http://schemas.microsoft.com/office/drawing/2014/main" id="{00000000-0008-0000-0000-0000F2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499" name="AutoShape 10">
          <a:extLst>
            <a:ext uri="{FF2B5EF4-FFF2-40B4-BE49-F238E27FC236}">
              <a16:creationId xmlns:a16="http://schemas.microsoft.com/office/drawing/2014/main" id="{00000000-0008-0000-0000-0000F3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0" name="AutoShape 8">
          <a:extLst>
            <a:ext uri="{FF2B5EF4-FFF2-40B4-BE49-F238E27FC236}">
              <a16:creationId xmlns:a16="http://schemas.microsoft.com/office/drawing/2014/main" id="{00000000-0008-0000-0000-0000F4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1" name="AutoShape 4">
          <a:extLst>
            <a:ext uri="{FF2B5EF4-FFF2-40B4-BE49-F238E27FC236}">
              <a16:creationId xmlns:a16="http://schemas.microsoft.com/office/drawing/2014/main" id="{00000000-0008-0000-0000-0000F5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2" name="AutoShape 2">
          <a:extLst>
            <a:ext uri="{FF2B5EF4-FFF2-40B4-BE49-F238E27FC236}">
              <a16:creationId xmlns:a16="http://schemas.microsoft.com/office/drawing/2014/main" id="{00000000-0008-0000-0000-0000F6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3" name="AutoShape 28">
          <a:extLst>
            <a:ext uri="{FF2B5EF4-FFF2-40B4-BE49-F238E27FC236}">
              <a16:creationId xmlns:a16="http://schemas.microsoft.com/office/drawing/2014/main" id="{00000000-0008-0000-0000-0000F7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4" name="AutoShape 26">
          <a:extLst>
            <a:ext uri="{FF2B5EF4-FFF2-40B4-BE49-F238E27FC236}">
              <a16:creationId xmlns:a16="http://schemas.microsoft.com/office/drawing/2014/main" id="{00000000-0008-0000-0000-0000F8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5" name="AutoShape 24">
          <a:extLst>
            <a:ext uri="{FF2B5EF4-FFF2-40B4-BE49-F238E27FC236}">
              <a16:creationId xmlns:a16="http://schemas.microsoft.com/office/drawing/2014/main" id="{00000000-0008-0000-0000-0000F9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6" name="AutoShape 22">
          <a:extLst>
            <a:ext uri="{FF2B5EF4-FFF2-40B4-BE49-F238E27FC236}">
              <a16:creationId xmlns:a16="http://schemas.microsoft.com/office/drawing/2014/main" id="{00000000-0008-0000-0000-0000FA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7" name="AutoShape 20">
          <a:extLst>
            <a:ext uri="{FF2B5EF4-FFF2-40B4-BE49-F238E27FC236}">
              <a16:creationId xmlns:a16="http://schemas.microsoft.com/office/drawing/2014/main" id="{00000000-0008-0000-0000-0000FB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8" name="AutoShape 18">
          <a:extLst>
            <a:ext uri="{FF2B5EF4-FFF2-40B4-BE49-F238E27FC236}">
              <a16:creationId xmlns:a16="http://schemas.microsoft.com/office/drawing/2014/main" id="{00000000-0008-0000-0000-0000FC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09" name="AutoShape 16">
          <a:extLst>
            <a:ext uri="{FF2B5EF4-FFF2-40B4-BE49-F238E27FC236}">
              <a16:creationId xmlns:a16="http://schemas.microsoft.com/office/drawing/2014/main" id="{00000000-0008-0000-0000-0000FD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0" name="AutoShape 14">
          <a:extLst>
            <a:ext uri="{FF2B5EF4-FFF2-40B4-BE49-F238E27FC236}">
              <a16:creationId xmlns:a16="http://schemas.microsoft.com/office/drawing/2014/main" id="{00000000-0008-0000-0000-0000FE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1" name="AutoShape 12">
          <a:extLst>
            <a:ext uri="{FF2B5EF4-FFF2-40B4-BE49-F238E27FC236}">
              <a16:creationId xmlns:a16="http://schemas.microsoft.com/office/drawing/2014/main" id="{00000000-0008-0000-0000-0000FF01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2" name="AutoShape 10">
          <a:extLst>
            <a:ext uri="{FF2B5EF4-FFF2-40B4-BE49-F238E27FC236}">
              <a16:creationId xmlns:a16="http://schemas.microsoft.com/office/drawing/2014/main" id="{00000000-0008-0000-0000-00000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3" name="AutoShape 8">
          <a:extLst>
            <a:ext uri="{FF2B5EF4-FFF2-40B4-BE49-F238E27FC236}">
              <a16:creationId xmlns:a16="http://schemas.microsoft.com/office/drawing/2014/main" id="{00000000-0008-0000-0000-00000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4" name="AutoShape 4">
          <a:extLst>
            <a:ext uri="{FF2B5EF4-FFF2-40B4-BE49-F238E27FC236}">
              <a16:creationId xmlns:a16="http://schemas.microsoft.com/office/drawing/2014/main" id="{00000000-0008-0000-0000-00000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5" name="AutoShape 2">
          <a:extLst>
            <a:ext uri="{FF2B5EF4-FFF2-40B4-BE49-F238E27FC236}">
              <a16:creationId xmlns:a16="http://schemas.microsoft.com/office/drawing/2014/main" id="{00000000-0008-0000-0000-00000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6" name="AutoShape 28">
          <a:extLst>
            <a:ext uri="{FF2B5EF4-FFF2-40B4-BE49-F238E27FC236}">
              <a16:creationId xmlns:a16="http://schemas.microsoft.com/office/drawing/2014/main" id="{00000000-0008-0000-0000-00000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7" name="AutoShape 26">
          <a:extLst>
            <a:ext uri="{FF2B5EF4-FFF2-40B4-BE49-F238E27FC236}">
              <a16:creationId xmlns:a16="http://schemas.microsoft.com/office/drawing/2014/main" id="{00000000-0008-0000-0000-00000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8" name="AutoShape 24">
          <a:extLst>
            <a:ext uri="{FF2B5EF4-FFF2-40B4-BE49-F238E27FC236}">
              <a16:creationId xmlns:a16="http://schemas.microsoft.com/office/drawing/2014/main" id="{00000000-0008-0000-0000-00000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19" name="AutoShape 22">
          <a:extLst>
            <a:ext uri="{FF2B5EF4-FFF2-40B4-BE49-F238E27FC236}">
              <a16:creationId xmlns:a16="http://schemas.microsoft.com/office/drawing/2014/main" id="{00000000-0008-0000-0000-00000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0" name="AutoShape 20">
          <a:extLst>
            <a:ext uri="{FF2B5EF4-FFF2-40B4-BE49-F238E27FC236}">
              <a16:creationId xmlns:a16="http://schemas.microsoft.com/office/drawing/2014/main" id="{00000000-0008-0000-0000-00000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1" name="AutoShape 18">
          <a:extLst>
            <a:ext uri="{FF2B5EF4-FFF2-40B4-BE49-F238E27FC236}">
              <a16:creationId xmlns:a16="http://schemas.microsoft.com/office/drawing/2014/main" id="{00000000-0008-0000-0000-000009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2" name="AutoShape 16">
          <a:extLst>
            <a:ext uri="{FF2B5EF4-FFF2-40B4-BE49-F238E27FC236}">
              <a16:creationId xmlns:a16="http://schemas.microsoft.com/office/drawing/2014/main" id="{00000000-0008-0000-0000-00000A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3" name="AutoShape 14">
          <a:extLst>
            <a:ext uri="{FF2B5EF4-FFF2-40B4-BE49-F238E27FC236}">
              <a16:creationId xmlns:a16="http://schemas.microsoft.com/office/drawing/2014/main" id="{00000000-0008-0000-0000-00000B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4" name="AutoShape 12">
          <a:extLst>
            <a:ext uri="{FF2B5EF4-FFF2-40B4-BE49-F238E27FC236}">
              <a16:creationId xmlns:a16="http://schemas.microsoft.com/office/drawing/2014/main" id="{00000000-0008-0000-0000-00000C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5" name="AutoShape 10">
          <a:extLst>
            <a:ext uri="{FF2B5EF4-FFF2-40B4-BE49-F238E27FC236}">
              <a16:creationId xmlns:a16="http://schemas.microsoft.com/office/drawing/2014/main" id="{00000000-0008-0000-0000-00000D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6" name="AutoShape 8">
          <a:extLst>
            <a:ext uri="{FF2B5EF4-FFF2-40B4-BE49-F238E27FC236}">
              <a16:creationId xmlns:a16="http://schemas.microsoft.com/office/drawing/2014/main" id="{00000000-0008-0000-0000-00000E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7" name="AutoShape 4">
          <a:extLst>
            <a:ext uri="{FF2B5EF4-FFF2-40B4-BE49-F238E27FC236}">
              <a16:creationId xmlns:a16="http://schemas.microsoft.com/office/drawing/2014/main" id="{00000000-0008-0000-0000-00000F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8" name="AutoShape 2">
          <a:extLst>
            <a:ext uri="{FF2B5EF4-FFF2-40B4-BE49-F238E27FC236}">
              <a16:creationId xmlns:a16="http://schemas.microsoft.com/office/drawing/2014/main" id="{00000000-0008-0000-0000-00001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29" name="AutoShape 28">
          <a:extLst>
            <a:ext uri="{FF2B5EF4-FFF2-40B4-BE49-F238E27FC236}">
              <a16:creationId xmlns:a16="http://schemas.microsoft.com/office/drawing/2014/main" id="{00000000-0008-0000-0000-00001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0" name="AutoShape 26">
          <a:extLst>
            <a:ext uri="{FF2B5EF4-FFF2-40B4-BE49-F238E27FC236}">
              <a16:creationId xmlns:a16="http://schemas.microsoft.com/office/drawing/2014/main" id="{00000000-0008-0000-0000-00001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1" name="AutoShape 24">
          <a:extLst>
            <a:ext uri="{FF2B5EF4-FFF2-40B4-BE49-F238E27FC236}">
              <a16:creationId xmlns:a16="http://schemas.microsoft.com/office/drawing/2014/main" id="{00000000-0008-0000-0000-00001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2" name="AutoShape 22">
          <a:extLst>
            <a:ext uri="{FF2B5EF4-FFF2-40B4-BE49-F238E27FC236}">
              <a16:creationId xmlns:a16="http://schemas.microsoft.com/office/drawing/2014/main" id="{00000000-0008-0000-0000-00001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3" name="AutoShape 20">
          <a:extLst>
            <a:ext uri="{FF2B5EF4-FFF2-40B4-BE49-F238E27FC236}">
              <a16:creationId xmlns:a16="http://schemas.microsoft.com/office/drawing/2014/main" id="{00000000-0008-0000-0000-00001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4" name="AutoShape 18">
          <a:extLst>
            <a:ext uri="{FF2B5EF4-FFF2-40B4-BE49-F238E27FC236}">
              <a16:creationId xmlns:a16="http://schemas.microsoft.com/office/drawing/2014/main" id="{00000000-0008-0000-0000-00001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5" name="AutoShape 16">
          <a:extLst>
            <a:ext uri="{FF2B5EF4-FFF2-40B4-BE49-F238E27FC236}">
              <a16:creationId xmlns:a16="http://schemas.microsoft.com/office/drawing/2014/main" id="{00000000-0008-0000-0000-00001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6" name="AutoShape 14">
          <a:extLst>
            <a:ext uri="{FF2B5EF4-FFF2-40B4-BE49-F238E27FC236}">
              <a16:creationId xmlns:a16="http://schemas.microsoft.com/office/drawing/2014/main" id="{00000000-0008-0000-0000-00001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7" name="AutoShape 12">
          <a:extLst>
            <a:ext uri="{FF2B5EF4-FFF2-40B4-BE49-F238E27FC236}">
              <a16:creationId xmlns:a16="http://schemas.microsoft.com/office/drawing/2014/main" id="{00000000-0008-0000-0000-000019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8" name="AutoShape 10">
          <a:extLst>
            <a:ext uri="{FF2B5EF4-FFF2-40B4-BE49-F238E27FC236}">
              <a16:creationId xmlns:a16="http://schemas.microsoft.com/office/drawing/2014/main" id="{00000000-0008-0000-0000-00001A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39" name="AutoShape 8">
          <a:extLst>
            <a:ext uri="{FF2B5EF4-FFF2-40B4-BE49-F238E27FC236}">
              <a16:creationId xmlns:a16="http://schemas.microsoft.com/office/drawing/2014/main" id="{00000000-0008-0000-0000-00001B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0" name="AutoShape 4">
          <a:extLst>
            <a:ext uri="{FF2B5EF4-FFF2-40B4-BE49-F238E27FC236}">
              <a16:creationId xmlns:a16="http://schemas.microsoft.com/office/drawing/2014/main" id="{00000000-0008-0000-0000-00001C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1" name="AutoShape 2">
          <a:extLst>
            <a:ext uri="{FF2B5EF4-FFF2-40B4-BE49-F238E27FC236}">
              <a16:creationId xmlns:a16="http://schemas.microsoft.com/office/drawing/2014/main" id="{00000000-0008-0000-0000-00001D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2" name="AutoShape 28">
          <a:extLst>
            <a:ext uri="{FF2B5EF4-FFF2-40B4-BE49-F238E27FC236}">
              <a16:creationId xmlns:a16="http://schemas.microsoft.com/office/drawing/2014/main" id="{00000000-0008-0000-0000-00001E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3" name="AutoShape 26">
          <a:extLst>
            <a:ext uri="{FF2B5EF4-FFF2-40B4-BE49-F238E27FC236}">
              <a16:creationId xmlns:a16="http://schemas.microsoft.com/office/drawing/2014/main" id="{00000000-0008-0000-0000-00001F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4" name="AutoShape 24">
          <a:extLst>
            <a:ext uri="{FF2B5EF4-FFF2-40B4-BE49-F238E27FC236}">
              <a16:creationId xmlns:a16="http://schemas.microsoft.com/office/drawing/2014/main" id="{00000000-0008-0000-0000-00002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5" name="AutoShape 22">
          <a:extLst>
            <a:ext uri="{FF2B5EF4-FFF2-40B4-BE49-F238E27FC236}">
              <a16:creationId xmlns:a16="http://schemas.microsoft.com/office/drawing/2014/main" id="{00000000-0008-0000-0000-00002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6" name="AutoShape 20">
          <a:extLst>
            <a:ext uri="{FF2B5EF4-FFF2-40B4-BE49-F238E27FC236}">
              <a16:creationId xmlns:a16="http://schemas.microsoft.com/office/drawing/2014/main" id="{00000000-0008-0000-0000-00002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7" name="AutoShape 18">
          <a:extLst>
            <a:ext uri="{FF2B5EF4-FFF2-40B4-BE49-F238E27FC236}">
              <a16:creationId xmlns:a16="http://schemas.microsoft.com/office/drawing/2014/main" id="{00000000-0008-0000-0000-00002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8" name="AutoShape 16">
          <a:extLst>
            <a:ext uri="{FF2B5EF4-FFF2-40B4-BE49-F238E27FC236}">
              <a16:creationId xmlns:a16="http://schemas.microsoft.com/office/drawing/2014/main" id="{00000000-0008-0000-0000-00002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49" name="AutoShape 14">
          <a:extLst>
            <a:ext uri="{FF2B5EF4-FFF2-40B4-BE49-F238E27FC236}">
              <a16:creationId xmlns:a16="http://schemas.microsoft.com/office/drawing/2014/main" id="{00000000-0008-0000-0000-00002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0" name="AutoShape 12">
          <a:extLst>
            <a:ext uri="{FF2B5EF4-FFF2-40B4-BE49-F238E27FC236}">
              <a16:creationId xmlns:a16="http://schemas.microsoft.com/office/drawing/2014/main" id="{00000000-0008-0000-0000-00002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1" name="AutoShape 10">
          <a:extLst>
            <a:ext uri="{FF2B5EF4-FFF2-40B4-BE49-F238E27FC236}">
              <a16:creationId xmlns:a16="http://schemas.microsoft.com/office/drawing/2014/main" id="{00000000-0008-0000-0000-00002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2" name="AutoShape 8">
          <a:extLst>
            <a:ext uri="{FF2B5EF4-FFF2-40B4-BE49-F238E27FC236}">
              <a16:creationId xmlns:a16="http://schemas.microsoft.com/office/drawing/2014/main" id="{00000000-0008-0000-0000-00002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3" name="AutoShape 4">
          <a:extLst>
            <a:ext uri="{FF2B5EF4-FFF2-40B4-BE49-F238E27FC236}">
              <a16:creationId xmlns:a16="http://schemas.microsoft.com/office/drawing/2014/main" id="{00000000-0008-0000-0000-000029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4" name="AutoShape 2">
          <a:extLst>
            <a:ext uri="{FF2B5EF4-FFF2-40B4-BE49-F238E27FC236}">
              <a16:creationId xmlns:a16="http://schemas.microsoft.com/office/drawing/2014/main" id="{00000000-0008-0000-0000-00002A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5" name="AutoShape 28">
          <a:extLst>
            <a:ext uri="{FF2B5EF4-FFF2-40B4-BE49-F238E27FC236}">
              <a16:creationId xmlns:a16="http://schemas.microsoft.com/office/drawing/2014/main" id="{00000000-0008-0000-0000-00002B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6" name="AutoShape 26">
          <a:extLst>
            <a:ext uri="{FF2B5EF4-FFF2-40B4-BE49-F238E27FC236}">
              <a16:creationId xmlns:a16="http://schemas.microsoft.com/office/drawing/2014/main" id="{00000000-0008-0000-0000-00002C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7" name="AutoShape 24">
          <a:extLst>
            <a:ext uri="{FF2B5EF4-FFF2-40B4-BE49-F238E27FC236}">
              <a16:creationId xmlns:a16="http://schemas.microsoft.com/office/drawing/2014/main" id="{00000000-0008-0000-0000-00002D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8" name="AutoShape 22">
          <a:extLst>
            <a:ext uri="{FF2B5EF4-FFF2-40B4-BE49-F238E27FC236}">
              <a16:creationId xmlns:a16="http://schemas.microsoft.com/office/drawing/2014/main" id="{00000000-0008-0000-0000-00002E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59" name="AutoShape 20">
          <a:extLst>
            <a:ext uri="{FF2B5EF4-FFF2-40B4-BE49-F238E27FC236}">
              <a16:creationId xmlns:a16="http://schemas.microsoft.com/office/drawing/2014/main" id="{00000000-0008-0000-0000-00002F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0" name="AutoShape 18">
          <a:extLst>
            <a:ext uri="{FF2B5EF4-FFF2-40B4-BE49-F238E27FC236}">
              <a16:creationId xmlns:a16="http://schemas.microsoft.com/office/drawing/2014/main" id="{00000000-0008-0000-0000-00003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1" name="AutoShape 16">
          <a:extLst>
            <a:ext uri="{FF2B5EF4-FFF2-40B4-BE49-F238E27FC236}">
              <a16:creationId xmlns:a16="http://schemas.microsoft.com/office/drawing/2014/main" id="{00000000-0008-0000-0000-00003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2" name="AutoShape 14">
          <a:extLst>
            <a:ext uri="{FF2B5EF4-FFF2-40B4-BE49-F238E27FC236}">
              <a16:creationId xmlns:a16="http://schemas.microsoft.com/office/drawing/2014/main" id="{00000000-0008-0000-0000-00003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3" name="AutoShape 12">
          <a:extLst>
            <a:ext uri="{FF2B5EF4-FFF2-40B4-BE49-F238E27FC236}">
              <a16:creationId xmlns:a16="http://schemas.microsoft.com/office/drawing/2014/main" id="{00000000-0008-0000-0000-00003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4" name="AutoShape 10">
          <a:extLst>
            <a:ext uri="{FF2B5EF4-FFF2-40B4-BE49-F238E27FC236}">
              <a16:creationId xmlns:a16="http://schemas.microsoft.com/office/drawing/2014/main" id="{00000000-0008-0000-0000-00003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5" name="AutoShape 8">
          <a:extLst>
            <a:ext uri="{FF2B5EF4-FFF2-40B4-BE49-F238E27FC236}">
              <a16:creationId xmlns:a16="http://schemas.microsoft.com/office/drawing/2014/main" id="{00000000-0008-0000-0000-00003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6" name="AutoShape 4">
          <a:extLst>
            <a:ext uri="{FF2B5EF4-FFF2-40B4-BE49-F238E27FC236}">
              <a16:creationId xmlns:a16="http://schemas.microsoft.com/office/drawing/2014/main" id="{00000000-0008-0000-0000-00003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7" name="AutoShape 2">
          <a:extLst>
            <a:ext uri="{FF2B5EF4-FFF2-40B4-BE49-F238E27FC236}">
              <a16:creationId xmlns:a16="http://schemas.microsoft.com/office/drawing/2014/main" id="{00000000-0008-0000-0000-00003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8" name="AutoShape 28">
          <a:extLst>
            <a:ext uri="{FF2B5EF4-FFF2-40B4-BE49-F238E27FC236}">
              <a16:creationId xmlns:a16="http://schemas.microsoft.com/office/drawing/2014/main" id="{00000000-0008-0000-0000-00003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69" name="AutoShape 26">
          <a:extLst>
            <a:ext uri="{FF2B5EF4-FFF2-40B4-BE49-F238E27FC236}">
              <a16:creationId xmlns:a16="http://schemas.microsoft.com/office/drawing/2014/main" id="{00000000-0008-0000-0000-000039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0" name="AutoShape 24">
          <a:extLst>
            <a:ext uri="{FF2B5EF4-FFF2-40B4-BE49-F238E27FC236}">
              <a16:creationId xmlns:a16="http://schemas.microsoft.com/office/drawing/2014/main" id="{00000000-0008-0000-0000-00003A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1" name="AutoShape 22">
          <a:extLst>
            <a:ext uri="{FF2B5EF4-FFF2-40B4-BE49-F238E27FC236}">
              <a16:creationId xmlns:a16="http://schemas.microsoft.com/office/drawing/2014/main" id="{00000000-0008-0000-0000-00003B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2" name="AutoShape 20">
          <a:extLst>
            <a:ext uri="{FF2B5EF4-FFF2-40B4-BE49-F238E27FC236}">
              <a16:creationId xmlns:a16="http://schemas.microsoft.com/office/drawing/2014/main" id="{00000000-0008-0000-0000-00003C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3" name="AutoShape 18">
          <a:extLst>
            <a:ext uri="{FF2B5EF4-FFF2-40B4-BE49-F238E27FC236}">
              <a16:creationId xmlns:a16="http://schemas.microsoft.com/office/drawing/2014/main" id="{00000000-0008-0000-0000-00003D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4" name="AutoShape 16">
          <a:extLst>
            <a:ext uri="{FF2B5EF4-FFF2-40B4-BE49-F238E27FC236}">
              <a16:creationId xmlns:a16="http://schemas.microsoft.com/office/drawing/2014/main" id="{00000000-0008-0000-0000-00003E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5" name="AutoShape 14">
          <a:extLst>
            <a:ext uri="{FF2B5EF4-FFF2-40B4-BE49-F238E27FC236}">
              <a16:creationId xmlns:a16="http://schemas.microsoft.com/office/drawing/2014/main" id="{00000000-0008-0000-0000-00003F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6" name="AutoShape 12">
          <a:extLst>
            <a:ext uri="{FF2B5EF4-FFF2-40B4-BE49-F238E27FC236}">
              <a16:creationId xmlns:a16="http://schemas.microsoft.com/office/drawing/2014/main" id="{00000000-0008-0000-0000-00004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7" name="AutoShape 10">
          <a:extLst>
            <a:ext uri="{FF2B5EF4-FFF2-40B4-BE49-F238E27FC236}">
              <a16:creationId xmlns:a16="http://schemas.microsoft.com/office/drawing/2014/main" id="{00000000-0008-0000-0000-00004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8" name="AutoShape 8">
          <a:extLst>
            <a:ext uri="{FF2B5EF4-FFF2-40B4-BE49-F238E27FC236}">
              <a16:creationId xmlns:a16="http://schemas.microsoft.com/office/drawing/2014/main" id="{00000000-0008-0000-0000-00004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79" name="AutoShape 4">
          <a:extLst>
            <a:ext uri="{FF2B5EF4-FFF2-40B4-BE49-F238E27FC236}">
              <a16:creationId xmlns:a16="http://schemas.microsoft.com/office/drawing/2014/main" id="{00000000-0008-0000-0000-00004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0" name="AutoShape 2">
          <a:extLst>
            <a:ext uri="{FF2B5EF4-FFF2-40B4-BE49-F238E27FC236}">
              <a16:creationId xmlns:a16="http://schemas.microsoft.com/office/drawing/2014/main" id="{00000000-0008-0000-0000-00004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1" name="AutoShape 28">
          <a:extLst>
            <a:ext uri="{FF2B5EF4-FFF2-40B4-BE49-F238E27FC236}">
              <a16:creationId xmlns:a16="http://schemas.microsoft.com/office/drawing/2014/main" id="{00000000-0008-0000-0000-00004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2" name="AutoShape 26">
          <a:extLst>
            <a:ext uri="{FF2B5EF4-FFF2-40B4-BE49-F238E27FC236}">
              <a16:creationId xmlns:a16="http://schemas.microsoft.com/office/drawing/2014/main" id="{00000000-0008-0000-0000-00004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3" name="AutoShape 24">
          <a:extLst>
            <a:ext uri="{FF2B5EF4-FFF2-40B4-BE49-F238E27FC236}">
              <a16:creationId xmlns:a16="http://schemas.microsoft.com/office/drawing/2014/main" id="{00000000-0008-0000-0000-00004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4" name="AutoShape 22">
          <a:extLst>
            <a:ext uri="{FF2B5EF4-FFF2-40B4-BE49-F238E27FC236}">
              <a16:creationId xmlns:a16="http://schemas.microsoft.com/office/drawing/2014/main" id="{00000000-0008-0000-0000-00004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5" name="AutoShape 20">
          <a:extLst>
            <a:ext uri="{FF2B5EF4-FFF2-40B4-BE49-F238E27FC236}">
              <a16:creationId xmlns:a16="http://schemas.microsoft.com/office/drawing/2014/main" id="{00000000-0008-0000-0000-000049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6" name="AutoShape 18">
          <a:extLst>
            <a:ext uri="{FF2B5EF4-FFF2-40B4-BE49-F238E27FC236}">
              <a16:creationId xmlns:a16="http://schemas.microsoft.com/office/drawing/2014/main" id="{00000000-0008-0000-0000-00004A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7" name="AutoShape 16">
          <a:extLst>
            <a:ext uri="{FF2B5EF4-FFF2-40B4-BE49-F238E27FC236}">
              <a16:creationId xmlns:a16="http://schemas.microsoft.com/office/drawing/2014/main" id="{00000000-0008-0000-0000-00004B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8" name="AutoShape 14">
          <a:extLst>
            <a:ext uri="{FF2B5EF4-FFF2-40B4-BE49-F238E27FC236}">
              <a16:creationId xmlns:a16="http://schemas.microsoft.com/office/drawing/2014/main" id="{00000000-0008-0000-0000-00004C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89" name="AutoShape 12">
          <a:extLst>
            <a:ext uri="{FF2B5EF4-FFF2-40B4-BE49-F238E27FC236}">
              <a16:creationId xmlns:a16="http://schemas.microsoft.com/office/drawing/2014/main" id="{00000000-0008-0000-0000-00004D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0" name="AutoShape 10">
          <a:extLst>
            <a:ext uri="{FF2B5EF4-FFF2-40B4-BE49-F238E27FC236}">
              <a16:creationId xmlns:a16="http://schemas.microsoft.com/office/drawing/2014/main" id="{00000000-0008-0000-0000-00004E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1" name="AutoShape 8">
          <a:extLst>
            <a:ext uri="{FF2B5EF4-FFF2-40B4-BE49-F238E27FC236}">
              <a16:creationId xmlns:a16="http://schemas.microsoft.com/office/drawing/2014/main" id="{00000000-0008-0000-0000-00004F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2" name="AutoShape 4">
          <a:extLst>
            <a:ext uri="{FF2B5EF4-FFF2-40B4-BE49-F238E27FC236}">
              <a16:creationId xmlns:a16="http://schemas.microsoft.com/office/drawing/2014/main" id="{00000000-0008-0000-0000-00005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3" name="AutoShape 2">
          <a:extLst>
            <a:ext uri="{FF2B5EF4-FFF2-40B4-BE49-F238E27FC236}">
              <a16:creationId xmlns:a16="http://schemas.microsoft.com/office/drawing/2014/main" id="{00000000-0008-0000-0000-00005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4" name="AutoShape 28">
          <a:extLst>
            <a:ext uri="{FF2B5EF4-FFF2-40B4-BE49-F238E27FC236}">
              <a16:creationId xmlns:a16="http://schemas.microsoft.com/office/drawing/2014/main" id="{00000000-0008-0000-0000-00005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5" name="AutoShape 26">
          <a:extLst>
            <a:ext uri="{FF2B5EF4-FFF2-40B4-BE49-F238E27FC236}">
              <a16:creationId xmlns:a16="http://schemas.microsoft.com/office/drawing/2014/main" id="{00000000-0008-0000-0000-00005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6" name="AutoShape 24">
          <a:extLst>
            <a:ext uri="{FF2B5EF4-FFF2-40B4-BE49-F238E27FC236}">
              <a16:creationId xmlns:a16="http://schemas.microsoft.com/office/drawing/2014/main" id="{00000000-0008-0000-0000-00005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7" name="AutoShape 22">
          <a:extLst>
            <a:ext uri="{FF2B5EF4-FFF2-40B4-BE49-F238E27FC236}">
              <a16:creationId xmlns:a16="http://schemas.microsoft.com/office/drawing/2014/main" id="{00000000-0008-0000-0000-00005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8" name="AutoShape 20">
          <a:extLst>
            <a:ext uri="{FF2B5EF4-FFF2-40B4-BE49-F238E27FC236}">
              <a16:creationId xmlns:a16="http://schemas.microsoft.com/office/drawing/2014/main" id="{00000000-0008-0000-0000-00005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599" name="AutoShape 18">
          <a:extLst>
            <a:ext uri="{FF2B5EF4-FFF2-40B4-BE49-F238E27FC236}">
              <a16:creationId xmlns:a16="http://schemas.microsoft.com/office/drawing/2014/main" id="{00000000-0008-0000-0000-00005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0" name="AutoShape 16">
          <a:extLst>
            <a:ext uri="{FF2B5EF4-FFF2-40B4-BE49-F238E27FC236}">
              <a16:creationId xmlns:a16="http://schemas.microsoft.com/office/drawing/2014/main" id="{00000000-0008-0000-0000-00005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1" name="AutoShape 14">
          <a:extLst>
            <a:ext uri="{FF2B5EF4-FFF2-40B4-BE49-F238E27FC236}">
              <a16:creationId xmlns:a16="http://schemas.microsoft.com/office/drawing/2014/main" id="{00000000-0008-0000-0000-000059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2" name="AutoShape 12">
          <a:extLst>
            <a:ext uri="{FF2B5EF4-FFF2-40B4-BE49-F238E27FC236}">
              <a16:creationId xmlns:a16="http://schemas.microsoft.com/office/drawing/2014/main" id="{00000000-0008-0000-0000-00005A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3" name="AutoShape 10">
          <a:extLst>
            <a:ext uri="{FF2B5EF4-FFF2-40B4-BE49-F238E27FC236}">
              <a16:creationId xmlns:a16="http://schemas.microsoft.com/office/drawing/2014/main" id="{00000000-0008-0000-0000-00005B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4" name="AutoShape 8">
          <a:extLst>
            <a:ext uri="{FF2B5EF4-FFF2-40B4-BE49-F238E27FC236}">
              <a16:creationId xmlns:a16="http://schemas.microsoft.com/office/drawing/2014/main" id="{00000000-0008-0000-0000-00005C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5" name="AutoShape 4">
          <a:extLst>
            <a:ext uri="{FF2B5EF4-FFF2-40B4-BE49-F238E27FC236}">
              <a16:creationId xmlns:a16="http://schemas.microsoft.com/office/drawing/2014/main" id="{00000000-0008-0000-0000-00005D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6" name="AutoShape 2">
          <a:extLst>
            <a:ext uri="{FF2B5EF4-FFF2-40B4-BE49-F238E27FC236}">
              <a16:creationId xmlns:a16="http://schemas.microsoft.com/office/drawing/2014/main" id="{00000000-0008-0000-0000-00005E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7" name="AutoShape 28">
          <a:extLst>
            <a:ext uri="{FF2B5EF4-FFF2-40B4-BE49-F238E27FC236}">
              <a16:creationId xmlns:a16="http://schemas.microsoft.com/office/drawing/2014/main" id="{00000000-0008-0000-0000-00005F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8" name="AutoShape 26">
          <a:extLst>
            <a:ext uri="{FF2B5EF4-FFF2-40B4-BE49-F238E27FC236}">
              <a16:creationId xmlns:a16="http://schemas.microsoft.com/office/drawing/2014/main" id="{00000000-0008-0000-0000-00006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09" name="AutoShape 24">
          <a:extLst>
            <a:ext uri="{FF2B5EF4-FFF2-40B4-BE49-F238E27FC236}">
              <a16:creationId xmlns:a16="http://schemas.microsoft.com/office/drawing/2014/main" id="{00000000-0008-0000-0000-00006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0" name="AutoShape 22">
          <a:extLst>
            <a:ext uri="{FF2B5EF4-FFF2-40B4-BE49-F238E27FC236}">
              <a16:creationId xmlns:a16="http://schemas.microsoft.com/office/drawing/2014/main" id="{00000000-0008-0000-0000-00006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1" name="AutoShape 20">
          <a:extLst>
            <a:ext uri="{FF2B5EF4-FFF2-40B4-BE49-F238E27FC236}">
              <a16:creationId xmlns:a16="http://schemas.microsoft.com/office/drawing/2014/main" id="{00000000-0008-0000-0000-00006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2" name="AutoShape 18">
          <a:extLst>
            <a:ext uri="{FF2B5EF4-FFF2-40B4-BE49-F238E27FC236}">
              <a16:creationId xmlns:a16="http://schemas.microsoft.com/office/drawing/2014/main" id="{00000000-0008-0000-0000-00006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3" name="AutoShape 16">
          <a:extLst>
            <a:ext uri="{FF2B5EF4-FFF2-40B4-BE49-F238E27FC236}">
              <a16:creationId xmlns:a16="http://schemas.microsoft.com/office/drawing/2014/main" id="{00000000-0008-0000-0000-00006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4" name="AutoShape 14">
          <a:extLst>
            <a:ext uri="{FF2B5EF4-FFF2-40B4-BE49-F238E27FC236}">
              <a16:creationId xmlns:a16="http://schemas.microsoft.com/office/drawing/2014/main" id="{00000000-0008-0000-0000-00006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5" name="AutoShape 12">
          <a:extLst>
            <a:ext uri="{FF2B5EF4-FFF2-40B4-BE49-F238E27FC236}">
              <a16:creationId xmlns:a16="http://schemas.microsoft.com/office/drawing/2014/main" id="{00000000-0008-0000-0000-00006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6" name="AutoShape 10">
          <a:extLst>
            <a:ext uri="{FF2B5EF4-FFF2-40B4-BE49-F238E27FC236}">
              <a16:creationId xmlns:a16="http://schemas.microsoft.com/office/drawing/2014/main" id="{00000000-0008-0000-0000-00006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7" name="AutoShape 8">
          <a:extLst>
            <a:ext uri="{FF2B5EF4-FFF2-40B4-BE49-F238E27FC236}">
              <a16:creationId xmlns:a16="http://schemas.microsoft.com/office/drawing/2014/main" id="{00000000-0008-0000-0000-000069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8" name="AutoShape 4">
          <a:extLst>
            <a:ext uri="{FF2B5EF4-FFF2-40B4-BE49-F238E27FC236}">
              <a16:creationId xmlns:a16="http://schemas.microsoft.com/office/drawing/2014/main" id="{00000000-0008-0000-0000-00006A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19" name="AutoShape 2">
          <a:extLst>
            <a:ext uri="{FF2B5EF4-FFF2-40B4-BE49-F238E27FC236}">
              <a16:creationId xmlns:a16="http://schemas.microsoft.com/office/drawing/2014/main" id="{00000000-0008-0000-0000-00006B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0" name="AutoShape 28">
          <a:extLst>
            <a:ext uri="{FF2B5EF4-FFF2-40B4-BE49-F238E27FC236}">
              <a16:creationId xmlns:a16="http://schemas.microsoft.com/office/drawing/2014/main" id="{00000000-0008-0000-0000-00006C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1" name="AutoShape 26">
          <a:extLst>
            <a:ext uri="{FF2B5EF4-FFF2-40B4-BE49-F238E27FC236}">
              <a16:creationId xmlns:a16="http://schemas.microsoft.com/office/drawing/2014/main" id="{00000000-0008-0000-0000-00006D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2" name="AutoShape 24">
          <a:extLst>
            <a:ext uri="{FF2B5EF4-FFF2-40B4-BE49-F238E27FC236}">
              <a16:creationId xmlns:a16="http://schemas.microsoft.com/office/drawing/2014/main" id="{00000000-0008-0000-0000-00006E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3" name="AutoShape 22">
          <a:extLst>
            <a:ext uri="{FF2B5EF4-FFF2-40B4-BE49-F238E27FC236}">
              <a16:creationId xmlns:a16="http://schemas.microsoft.com/office/drawing/2014/main" id="{00000000-0008-0000-0000-00006F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4" name="AutoShape 20">
          <a:extLst>
            <a:ext uri="{FF2B5EF4-FFF2-40B4-BE49-F238E27FC236}">
              <a16:creationId xmlns:a16="http://schemas.microsoft.com/office/drawing/2014/main" id="{00000000-0008-0000-0000-000070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5" name="AutoShape 18">
          <a:extLst>
            <a:ext uri="{FF2B5EF4-FFF2-40B4-BE49-F238E27FC236}">
              <a16:creationId xmlns:a16="http://schemas.microsoft.com/office/drawing/2014/main" id="{00000000-0008-0000-0000-000071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6" name="AutoShape 16">
          <a:extLst>
            <a:ext uri="{FF2B5EF4-FFF2-40B4-BE49-F238E27FC236}">
              <a16:creationId xmlns:a16="http://schemas.microsoft.com/office/drawing/2014/main" id="{00000000-0008-0000-0000-000072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7" name="AutoShape 14">
          <a:extLst>
            <a:ext uri="{FF2B5EF4-FFF2-40B4-BE49-F238E27FC236}">
              <a16:creationId xmlns:a16="http://schemas.microsoft.com/office/drawing/2014/main" id="{00000000-0008-0000-0000-000073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8" name="AutoShape 12">
          <a:extLst>
            <a:ext uri="{FF2B5EF4-FFF2-40B4-BE49-F238E27FC236}">
              <a16:creationId xmlns:a16="http://schemas.microsoft.com/office/drawing/2014/main" id="{00000000-0008-0000-0000-000074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29" name="AutoShape 10">
          <a:extLst>
            <a:ext uri="{FF2B5EF4-FFF2-40B4-BE49-F238E27FC236}">
              <a16:creationId xmlns:a16="http://schemas.microsoft.com/office/drawing/2014/main" id="{00000000-0008-0000-0000-000075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30" name="AutoShape 8">
          <a:extLst>
            <a:ext uri="{FF2B5EF4-FFF2-40B4-BE49-F238E27FC236}">
              <a16:creationId xmlns:a16="http://schemas.microsoft.com/office/drawing/2014/main" id="{00000000-0008-0000-0000-000076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31" name="AutoShape 4">
          <a:extLst>
            <a:ext uri="{FF2B5EF4-FFF2-40B4-BE49-F238E27FC236}">
              <a16:creationId xmlns:a16="http://schemas.microsoft.com/office/drawing/2014/main" id="{00000000-0008-0000-0000-000077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369000</xdr:colOff>
      <xdr:row>53</xdr:row>
      <xdr:rowOff>111960</xdr:rowOff>
    </xdr:to>
    <xdr:sp macro="" textlink="">
      <xdr:nvSpPr>
        <xdr:cNvPr id="632" name="AutoShape 2">
          <a:extLst>
            <a:ext uri="{FF2B5EF4-FFF2-40B4-BE49-F238E27FC236}">
              <a16:creationId xmlns:a16="http://schemas.microsoft.com/office/drawing/2014/main" id="{00000000-0008-0000-0000-000078020000}"/>
            </a:ext>
          </a:extLst>
        </xdr:cNvPr>
        <xdr:cNvSpPr/>
      </xdr:nvSpPr>
      <xdr:spPr>
        <a:xfrm>
          <a:off x="0" y="0"/>
          <a:ext cx="11433960" cy="938304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2</xdr:col>
      <xdr:colOff>699120</xdr:colOff>
      <xdr:row>645</xdr:row>
      <xdr:rowOff>103320</xdr:rowOff>
    </xdr:from>
    <xdr:to>
      <xdr:col>2</xdr:col>
      <xdr:colOff>699480</xdr:colOff>
      <xdr:row>645</xdr:row>
      <xdr:rowOff>103680</xdr:rowOff>
    </xdr:to>
    <xdr:pic>
      <xdr:nvPicPr>
        <xdr:cNvPr id="633" name="Рукописный ввод 632">
          <a:extLst>
            <a:ext uri="{FF2B5EF4-FFF2-40B4-BE49-F238E27FC236}">
              <a16:creationId xmlns:a16="http://schemas.microsoft.com/office/drawing/2014/main" id="{00000000-0008-0000-0000-000079020000}"/>
            </a:ext>
          </a:extLst>
        </xdr:cNvPr>
        <xdr:cNvPicPr/>
      </xdr:nvPicPr>
      <xdr:blipFill>
        <a:blip xmlns:r="http://schemas.openxmlformats.org/officeDocument/2006/relationships" r:embed="rId1"/>
        <a:stretch/>
      </xdr:blipFill>
      <xdr:spPr>
        <a:xfrm>
          <a:off x="5461560" y="109513080"/>
          <a:ext cx="360" cy="360"/>
        </a:xfrm>
        <a:prstGeom prst="rect">
          <a:avLst/>
        </a:prstGeom>
        <a:noFill/>
        <a:ln w="0">
          <a:noFill/>
        </a:ln>
      </xdr:spPr>
    </xdr:pic>
    <xdr:clientData/>
  </xdr:twoCellAnchor>
</xdr:wsDr>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L839"/>
  <sheetViews>
    <sheetView tabSelected="1" topLeftCell="B544" zoomScale="110" zoomScaleNormal="110" workbookViewId="0">
      <selection activeCell="E581" sqref="E581"/>
    </sheetView>
  </sheetViews>
  <sheetFormatPr defaultColWidth="8.7109375" defaultRowHeight="12.75" x14ac:dyDescent="0.2"/>
  <cols>
    <col min="1" max="1" width="54.28515625" style="1" customWidth="1"/>
    <col min="2" max="2" width="16.5703125" style="1" customWidth="1"/>
    <col min="3" max="3" width="20.85546875" style="1" customWidth="1"/>
    <col min="4" max="4" width="68.5703125" style="1" customWidth="1"/>
    <col min="5" max="5" width="91.7109375" style="1" customWidth="1"/>
    <col min="6" max="13" width="6.28515625" style="1" customWidth="1"/>
    <col min="14" max="14" width="44.140625" style="1" customWidth="1"/>
    <col min="15" max="15" width="16.42578125" style="1" customWidth="1"/>
    <col min="16" max="16" width="19.7109375" style="1" customWidth="1"/>
    <col min="17" max="17" width="18.28515625" style="1" customWidth="1"/>
    <col min="18" max="18" width="22.42578125" style="1" customWidth="1"/>
    <col min="19" max="19" width="12.5703125" style="1" customWidth="1"/>
    <col min="20" max="20" width="30.85546875" style="1" customWidth="1"/>
    <col min="21" max="21" width="22.28515625" style="1" customWidth="1"/>
    <col min="22" max="22" width="18.28515625" style="1" customWidth="1"/>
    <col min="23" max="23" width="20.5703125" style="1" customWidth="1"/>
    <col min="24" max="24" width="25.7109375" style="1" customWidth="1"/>
    <col min="25" max="25" width="20.28515625" style="1" customWidth="1"/>
    <col min="26" max="26" width="19.7109375" style="1" customWidth="1"/>
    <col min="27" max="27" width="12.5703125" style="1" customWidth="1"/>
    <col min="28" max="28" width="17.7109375" style="1" customWidth="1"/>
    <col min="29" max="29" width="18.28515625" style="1" customWidth="1"/>
    <col min="30" max="30" width="17" style="1" customWidth="1"/>
    <col min="31" max="31" width="12.5703125" style="1" customWidth="1"/>
    <col min="32" max="32" width="17.140625" style="1" customWidth="1"/>
    <col min="33" max="33" width="12.5703125" style="1" customWidth="1"/>
    <col min="34" max="34" width="27.5703125" style="1" customWidth="1"/>
    <col min="35" max="35" width="21.140625" style="1" customWidth="1"/>
    <col min="36" max="36" width="20.42578125" style="1" customWidth="1"/>
    <col min="37" max="42" width="12.5703125" style="1" customWidth="1"/>
    <col min="43" max="43" width="17.42578125" style="2" customWidth="1"/>
    <col min="44" max="1026" width="12.5703125" style="1" customWidth="1"/>
  </cols>
  <sheetData>
    <row r="1" spans="1:44" ht="75" x14ac:dyDescent="0.25">
      <c r="A1" s="3" t="s">
        <v>0</v>
      </c>
      <c r="B1" s="3" t="s">
        <v>1</v>
      </c>
      <c r="C1" s="1" t="s">
        <v>2</v>
      </c>
      <c r="D1" s="3" t="s">
        <v>3</v>
      </c>
      <c r="E1" s="1" t="s">
        <v>4</v>
      </c>
      <c r="F1" s="1" t="s">
        <v>5</v>
      </c>
      <c r="G1" s="1" t="s">
        <v>6</v>
      </c>
      <c r="H1" s="1" t="s">
        <v>7</v>
      </c>
      <c r="I1" s="1" t="s">
        <v>8</v>
      </c>
      <c r="J1" s="4"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5" t="s">
        <v>26</v>
      </c>
      <c r="AB1" s="6" t="s">
        <v>27</v>
      </c>
      <c r="AC1" s="7" t="s">
        <v>28</v>
      </c>
      <c r="AD1" s="6" t="s">
        <v>29</v>
      </c>
      <c r="AE1" s="7" t="s">
        <v>30</v>
      </c>
      <c r="AF1" s="6" t="s">
        <v>31</v>
      </c>
      <c r="AG1" s="7" t="s">
        <v>32</v>
      </c>
      <c r="AH1" s="7" t="s">
        <v>33</v>
      </c>
      <c r="AI1" s="6" t="s">
        <v>34</v>
      </c>
      <c r="AJ1" s="7" t="s">
        <v>35</v>
      </c>
      <c r="AK1" s="7" t="s">
        <v>36</v>
      </c>
      <c r="AL1" s="7" t="s">
        <v>37</v>
      </c>
      <c r="AM1" s="8" t="s">
        <v>38</v>
      </c>
      <c r="AN1" s="8" t="s">
        <v>39</v>
      </c>
      <c r="AO1" s="6" t="s">
        <v>40</v>
      </c>
      <c r="AP1" s="6" t="s">
        <v>41</v>
      </c>
      <c r="AQ1" s="2" t="s">
        <v>42</v>
      </c>
      <c r="AR1" s="1" t="s">
        <v>43</v>
      </c>
    </row>
    <row r="2" spans="1:44" ht="14.25" x14ac:dyDescent="0.2">
      <c r="A2" s="9" t="s">
        <v>44</v>
      </c>
      <c r="B2" s="1" t="s">
        <v>45</v>
      </c>
      <c r="C2" s="3" t="s">
        <v>46</v>
      </c>
      <c r="D2" s="1" t="str">
        <f t="shared" ref="D2:D41" si="0">CONCATENATE("Documents\GitHub\Ozon_upload\barcode\бирки имена\мальчики\", A2, ".pdf")</f>
        <v>Documents\GitHub\Ozon_upload\barcode\бирки имена\мальчики\Термобирки Михаил.pdf</v>
      </c>
      <c r="E2" s="10" t="str">
        <f t="shared" ref="E2:E41" si="1">CONCATENATE("C:\Users\maxim\Documents\GitHub\Ozon_upload\DTF_images\names\мальчики\",,RIGHT(A2,LEN(A2)-FIND(" ",A2)),"_img.tif")</f>
        <v>C:\Users\maxim\Documents\GitHub\Ozon_upload\DTF_images\names\мальчики\Михаил_img.tif</v>
      </c>
      <c r="F2" s="1">
        <v>1</v>
      </c>
      <c r="G2" s="1">
        <v>2</v>
      </c>
      <c r="I2" s="11" t="s">
        <v>47</v>
      </c>
      <c r="K2" s="1" t="s">
        <v>48</v>
      </c>
      <c r="N2" s="1" t="s">
        <v>49</v>
      </c>
      <c r="Y2" s="12"/>
      <c r="AB2" s="9" t="s">
        <v>50</v>
      </c>
      <c r="AM2" s="1">
        <v>16</v>
      </c>
      <c r="AN2" s="1">
        <v>180</v>
      </c>
      <c r="AO2" s="1">
        <v>1</v>
      </c>
      <c r="AP2" s="1">
        <v>250</v>
      </c>
      <c r="AQ2" s="2" t="s">
        <v>51</v>
      </c>
    </row>
    <row r="3" spans="1:44" ht="14.25" x14ac:dyDescent="0.2">
      <c r="A3" s="9" t="s">
        <v>52</v>
      </c>
      <c r="B3" s="1" t="s">
        <v>53</v>
      </c>
      <c r="C3" s="3" t="s">
        <v>54</v>
      </c>
      <c r="D3" s="1" t="str">
        <f t="shared" si="0"/>
        <v>Documents\GitHub\Ozon_upload\barcode\бирки имена\мальчики\Термобирки Александр.pdf</v>
      </c>
      <c r="E3" s="10" t="str">
        <f t="shared" si="1"/>
        <v>C:\Users\maxim\Documents\GitHub\Ozon_upload\DTF_images\names\мальчики\Александр_img.tif</v>
      </c>
      <c r="F3" s="1">
        <v>1</v>
      </c>
      <c r="G3" s="1">
        <v>2</v>
      </c>
      <c r="I3" s="11" t="s">
        <v>55</v>
      </c>
      <c r="K3" s="1" t="s">
        <v>48</v>
      </c>
      <c r="AB3" s="9" t="s">
        <v>50</v>
      </c>
      <c r="AM3" s="1">
        <v>16</v>
      </c>
      <c r="AN3" s="1">
        <v>180</v>
      </c>
      <c r="AO3" s="1">
        <v>1</v>
      </c>
      <c r="AP3" s="1">
        <v>250</v>
      </c>
      <c r="AQ3" s="2" t="s">
        <v>51</v>
      </c>
    </row>
    <row r="4" spans="1:44" x14ac:dyDescent="0.2">
      <c r="A4" s="9" t="s">
        <v>56</v>
      </c>
      <c r="B4" s="1" t="s">
        <v>57</v>
      </c>
      <c r="C4" s="1" t="s">
        <v>58</v>
      </c>
      <c r="D4" s="1" t="str">
        <f t="shared" si="0"/>
        <v>Documents\GitHub\Ozon_upload\barcode\бирки имена\мальчики\Термобирки Максим.pdf</v>
      </c>
      <c r="E4" s="10" t="str">
        <f t="shared" si="1"/>
        <v>C:\Users\maxim\Documents\GitHub\Ozon_upload\DTF_images\names\мальчики\Максим_img.tif</v>
      </c>
      <c r="F4" s="1">
        <v>1</v>
      </c>
      <c r="G4" s="1">
        <v>2</v>
      </c>
      <c r="I4" s="11" t="s">
        <v>59</v>
      </c>
      <c r="K4" s="1" t="s">
        <v>48</v>
      </c>
      <c r="AB4" s="9" t="s">
        <v>50</v>
      </c>
      <c r="AM4" s="1">
        <v>16</v>
      </c>
      <c r="AN4" s="1">
        <v>180</v>
      </c>
      <c r="AO4" s="1">
        <v>1</v>
      </c>
      <c r="AP4" s="1">
        <v>250</v>
      </c>
      <c r="AQ4" s="2" t="s">
        <v>51</v>
      </c>
    </row>
    <row r="5" spans="1:44" x14ac:dyDescent="0.2">
      <c r="A5" s="9" t="s">
        <v>60</v>
      </c>
      <c r="B5" s="1" t="s">
        <v>61</v>
      </c>
      <c r="C5" s="1" t="s">
        <v>62</v>
      </c>
      <c r="D5" s="1" t="str">
        <f t="shared" si="0"/>
        <v>Documents\GitHub\Ozon_upload\barcode\бирки имена\мальчики\Термобирки Артем.pdf</v>
      </c>
      <c r="E5" s="10" t="str">
        <f t="shared" si="1"/>
        <v>C:\Users\maxim\Documents\GitHub\Ozon_upload\DTF_images\names\мальчики\Артем_img.tif</v>
      </c>
      <c r="F5" s="1">
        <v>1</v>
      </c>
      <c r="G5" s="1">
        <v>2</v>
      </c>
      <c r="I5" s="11" t="s">
        <v>63</v>
      </c>
      <c r="K5" s="1" t="s">
        <v>48</v>
      </c>
      <c r="AB5" s="9" t="s">
        <v>50</v>
      </c>
      <c r="AM5" s="1">
        <v>16</v>
      </c>
      <c r="AN5" s="1">
        <v>180</v>
      </c>
      <c r="AO5" s="1">
        <v>1</v>
      </c>
      <c r="AP5" s="1">
        <v>250</v>
      </c>
      <c r="AQ5" s="2" t="s">
        <v>51</v>
      </c>
    </row>
    <row r="6" spans="1:44" x14ac:dyDescent="0.2">
      <c r="A6" s="9" t="s">
        <v>64</v>
      </c>
      <c r="B6" s="1" t="s">
        <v>65</v>
      </c>
      <c r="C6" s="1" t="s">
        <v>66</v>
      </c>
      <c r="D6" s="1" t="str">
        <f t="shared" si="0"/>
        <v>Documents\GitHub\Ozon_upload\barcode\бирки имена\мальчики\Термобирки Марк.pdf</v>
      </c>
      <c r="E6" s="10" t="str">
        <f t="shared" si="1"/>
        <v>C:\Users\maxim\Documents\GitHub\Ozon_upload\DTF_images\names\мальчики\Марк_img.tif</v>
      </c>
      <c r="F6" s="1">
        <v>1</v>
      </c>
      <c r="G6" s="1">
        <v>2</v>
      </c>
      <c r="I6" s="11" t="s">
        <v>67</v>
      </c>
      <c r="K6" s="1" t="s">
        <v>48</v>
      </c>
      <c r="AB6" s="9" t="s">
        <v>50</v>
      </c>
      <c r="AM6" s="1">
        <v>16</v>
      </c>
      <c r="AN6" s="1">
        <v>180</v>
      </c>
      <c r="AO6" s="1">
        <v>1</v>
      </c>
      <c r="AP6" s="1">
        <v>250</v>
      </c>
      <c r="AQ6" s="2" t="s">
        <v>51</v>
      </c>
    </row>
    <row r="7" spans="1:44" x14ac:dyDescent="0.2">
      <c r="A7" s="9" t="s">
        <v>68</v>
      </c>
      <c r="B7" s="1" t="s">
        <v>69</v>
      </c>
      <c r="C7" s="1" t="s">
        <v>70</v>
      </c>
      <c r="D7" s="1" t="str">
        <f t="shared" si="0"/>
        <v>Documents\GitHub\Ozon_upload\barcode\бирки имена\мальчики\Термобирки Лев.pdf</v>
      </c>
      <c r="E7" s="10" t="str">
        <f t="shared" si="1"/>
        <v>C:\Users\maxim\Documents\GitHub\Ozon_upload\DTF_images\names\мальчики\Лев_img.tif</v>
      </c>
      <c r="F7" s="1">
        <v>1</v>
      </c>
      <c r="G7" s="1">
        <v>2</v>
      </c>
      <c r="I7" s="11" t="s">
        <v>71</v>
      </c>
      <c r="K7" s="1" t="s">
        <v>48</v>
      </c>
      <c r="AB7" s="9" t="s">
        <v>50</v>
      </c>
      <c r="AM7" s="1">
        <v>16</v>
      </c>
      <c r="AN7" s="1">
        <v>180</v>
      </c>
      <c r="AO7" s="1">
        <v>1</v>
      </c>
      <c r="AP7" s="1">
        <v>250</v>
      </c>
      <c r="AQ7" s="2" t="s">
        <v>51</v>
      </c>
    </row>
    <row r="8" spans="1:44" x14ac:dyDescent="0.2">
      <c r="A8" s="9" t="s">
        <v>72</v>
      </c>
      <c r="B8" s="1" t="s">
        <v>73</v>
      </c>
      <c r="C8" s="1" t="s">
        <v>74</v>
      </c>
      <c r="D8" s="1" t="str">
        <f t="shared" si="0"/>
        <v>Documents\GitHub\Ozon_upload\barcode\бирки имена\мальчики\Термобирки Иван.pdf</v>
      </c>
      <c r="E8" s="10" t="str">
        <f t="shared" si="1"/>
        <v>C:\Users\maxim\Documents\GitHub\Ozon_upload\DTF_images\names\мальчики\Иван_img.tif</v>
      </c>
      <c r="F8" s="1">
        <v>1</v>
      </c>
      <c r="G8" s="1">
        <v>2</v>
      </c>
      <c r="I8" s="11" t="s">
        <v>75</v>
      </c>
      <c r="K8" s="1" t="s">
        <v>48</v>
      </c>
      <c r="AB8" s="9" t="s">
        <v>50</v>
      </c>
      <c r="AM8" s="1">
        <v>16</v>
      </c>
      <c r="AN8" s="1">
        <v>180</v>
      </c>
      <c r="AO8" s="1">
        <v>1</v>
      </c>
      <c r="AP8" s="1">
        <v>250</v>
      </c>
      <c r="AQ8" s="2" t="s">
        <v>51</v>
      </c>
    </row>
    <row r="9" spans="1:44" x14ac:dyDescent="0.2">
      <c r="A9" s="9" t="s">
        <v>76</v>
      </c>
      <c r="B9" s="1" t="s">
        <v>77</v>
      </c>
      <c r="C9" s="1" t="s">
        <v>78</v>
      </c>
      <c r="D9" s="1" t="str">
        <f t="shared" si="0"/>
        <v>Documents\GitHub\Ozon_upload\barcode\бирки имена\мальчики\Термобирки Матвей.pdf</v>
      </c>
      <c r="E9" s="10" t="str">
        <f t="shared" si="1"/>
        <v>C:\Users\maxim\Documents\GitHub\Ozon_upload\DTF_images\names\мальчики\Матвей_img.tif</v>
      </c>
      <c r="F9" s="1">
        <v>1</v>
      </c>
      <c r="G9" s="1">
        <v>2</v>
      </c>
      <c r="I9" s="11" t="s">
        <v>79</v>
      </c>
      <c r="K9" s="1" t="s">
        <v>48</v>
      </c>
      <c r="AB9" s="9" t="s">
        <v>50</v>
      </c>
      <c r="AM9" s="1">
        <v>16</v>
      </c>
      <c r="AN9" s="1">
        <v>180</v>
      </c>
      <c r="AO9" s="1">
        <v>1</v>
      </c>
      <c r="AP9" s="1">
        <v>250</v>
      </c>
      <c r="AQ9" s="2" t="s">
        <v>51</v>
      </c>
    </row>
    <row r="10" spans="1:44" x14ac:dyDescent="0.2">
      <c r="A10" s="9" t="s">
        <v>80</v>
      </c>
      <c r="B10" s="1" t="s">
        <v>81</v>
      </c>
      <c r="C10" s="1" t="s">
        <v>82</v>
      </c>
      <c r="D10" s="1" t="str">
        <f t="shared" si="0"/>
        <v>Documents\GitHub\Ozon_upload\barcode\бирки имена\мальчики\Термобирки Даниил.pdf</v>
      </c>
      <c r="E10" s="10" t="str">
        <f t="shared" si="1"/>
        <v>C:\Users\maxim\Documents\GitHub\Ozon_upload\DTF_images\names\мальчики\Даниил_img.tif</v>
      </c>
      <c r="F10" s="1">
        <v>1</v>
      </c>
      <c r="G10" s="1">
        <v>2</v>
      </c>
      <c r="I10" s="11" t="s">
        <v>83</v>
      </c>
      <c r="K10" s="1" t="s">
        <v>48</v>
      </c>
      <c r="AB10" s="9" t="s">
        <v>50</v>
      </c>
      <c r="AM10" s="1">
        <v>16</v>
      </c>
      <c r="AN10" s="1">
        <v>180</v>
      </c>
      <c r="AO10" s="1">
        <v>1</v>
      </c>
      <c r="AP10" s="1">
        <v>250</v>
      </c>
      <c r="AQ10" s="2" t="s">
        <v>51</v>
      </c>
    </row>
    <row r="11" spans="1:44" x14ac:dyDescent="0.2">
      <c r="A11" s="9" t="s">
        <v>84</v>
      </c>
      <c r="B11" s="1" t="s">
        <v>85</v>
      </c>
      <c r="C11" s="1" t="s">
        <v>86</v>
      </c>
      <c r="D11" s="1" t="str">
        <f t="shared" si="0"/>
        <v>Documents\GitHub\Ozon_upload\barcode\бирки имена\мальчики\Термобирки Дмитрий.pdf</v>
      </c>
      <c r="E11" s="10" t="str">
        <f t="shared" si="1"/>
        <v>C:\Users\maxim\Documents\GitHub\Ozon_upload\DTF_images\names\мальчики\Дмитрий_img.tif</v>
      </c>
      <c r="F11" s="1">
        <v>1</v>
      </c>
      <c r="G11" s="1">
        <v>2</v>
      </c>
      <c r="I11" s="11" t="s">
        <v>87</v>
      </c>
      <c r="K11" s="1" t="s">
        <v>48</v>
      </c>
      <c r="AB11" s="9" t="s">
        <v>50</v>
      </c>
      <c r="AM11" s="1">
        <v>16</v>
      </c>
      <c r="AN11" s="1">
        <v>180</v>
      </c>
      <c r="AO11" s="1">
        <v>1</v>
      </c>
      <c r="AP11" s="1">
        <v>250</v>
      </c>
      <c r="AQ11" s="2" t="s">
        <v>51</v>
      </c>
    </row>
    <row r="12" spans="1:44" x14ac:dyDescent="0.2">
      <c r="A12" s="9" t="s">
        <v>88</v>
      </c>
      <c r="B12" s="1" t="s">
        <v>89</v>
      </c>
      <c r="C12" s="1" t="s">
        <v>90</v>
      </c>
      <c r="D12" s="1" t="str">
        <f t="shared" si="0"/>
        <v>Documents\GitHub\Ozon_upload\barcode\бирки имена\мальчики\Термобирки Тимофей.pdf</v>
      </c>
      <c r="E12" s="10" t="str">
        <f t="shared" si="1"/>
        <v>C:\Users\maxim\Documents\GitHub\Ozon_upload\DTF_images\names\мальчики\Тимофей_img.tif</v>
      </c>
      <c r="F12" s="1">
        <v>1</v>
      </c>
      <c r="G12" s="1">
        <v>2</v>
      </c>
      <c r="I12" s="11" t="s">
        <v>91</v>
      </c>
      <c r="K12" s="1" t="s">
        <v>48</v>
      </c>
      <c r="AB12" s="9" t="s">
        <v>50</v>
      </c>
      <c r="AM12" s="1">
        <v>16</v>
      </c>
      <c r="AN12" s="1">
        <v>180</v>
      </c>
      <c r="AO12" s="1">
        <v>1</v>
      </c>
      <c r="AP12" s="1">
        <v>250</v>
      </c>
      <c r="AQ12" s="2" t="s">
        <v>51</v>
      </c>
    </row>
    <row r="13" spans="1:44" x14ac:dyDescent="0.2">
      <c r="A13" s="9" t="s">
        <v>92</v>
      </c>
      <c r="B13" s="1" t="s">
        <v>93</v>
      </c>
      <c r="C13" s="1" t="s">
        <v>94</v>
      </c>
      <c r="D13" s="1" t="str">
        <f t="shared" si="0"/>
        <v>Documents\GitHub\Ozon_upload\barcode\бирки имена\мальчики\Термобирки Роман.pdf</v>
      </c>
      <c r="E13" s="10" t="str">
        <f t="shared" si="1"/>
        <v>C:\Users\maxim\Documents\GitHub\Ozon_upload\DTF_images\names\мальчики\Роман_img.tif</v>
      </c>
      <c r="F13" s="1">
        <v>1</v>
      </c>
      <c r="G13" s="1">
        <v>2</v>
      </c>
      <c r="I13" s="11" t="s">
        <v>95</v>
      </c>
      <c r="K13" s="1" t="s">
        <v>48</v>
      </c>
      <c r="AB13" s="9" t="s">
        <v>50</v>
      </c>
      <c r="AM13" s="1">
        <v>16</v>
      </c>
      <c r="AN13" s="1">
        <v>180</v>
      </c>
      <c r="AO13" s="1">
        <v>1</v>
      </c>
      <c r="AP13" s="1">
        <v>250</v>
      </c>
      <c r="AQ13" s="2" t="s">
        <v>51</v>
      </c>
    </row>
    <row r="14" spans="1:44" x14ac:dyDescent="0.2">
      <c r="A14" s="9" t="s">
        <v>96</v>
      </c>
      <c r="B14" s="1" t="s">
        <v>97</v>
      </c>
      <c r="C14" s="1" t="s">
        <v>98</v>
      </c>
      <c r="D14" s="1" t="str">
        <f t="shared" si="0"/>
        <v>Documents\GitHub\Ozon_upload\barcode\бирки имена\мальчики\Термобирки Мирон.pdf</v>
      </c>
      <c r="E14" s="10" t="str">
        <f t="shared" si="1"/>
        <v>C:\Users\maxim\Documents\GitHub\Ozon_upload\DTF_images\names\мальчики\Мирон_img.tif</v>
      </c>
      <c r="F14" s="1">
        <v>1</v>
      </c>
      <c r="G14" s="1">
        <v>2</v>
      </c>
      <c r="I14" s="11" t="s">
        <v>99</v>
      </c>
      <c r="K14" s="1" t="s">
        <v>48</v>
      </c>
      <c r="AB14" s="9" t="s">
        <v>50</v>
      </c>
      <c r="AM14" s="1">
        <v>16</v>
      </c>
      <c r="AN14" s="1">
        <v>180</v>
      </c>
      <c r="AO14" s="1">
        <v>1</v>
      </c>
      <c r="AP14" s="1">
        <v>250</v>
      </c>
      <c r="AQ14" s="2" t="s">
        <v>51</v>
      </c>
    </row>
    <row r="15" spans="1:44" x14ac:dyDescent="0.2">
      <c r="A15" s="9" t="s">
        <v>100</v>
      </c>
      <c r="B15" s="1" t="s">
        <v>101</v>
      </c>
      <c r="C15" s="1" t="s">
        <v>102</v>
      </c>
      <c r="D15" s="1" t="str">
        <f t="shared" si="0"/>
        <v>Documents\GitHub\Ozon_upload\barcode\бирки имена\мальчики\Термобирки Мухаммад.pdf</v>
      </c>
      <c r="E15" s="10" t="str">
        <f t="shared" si="1"/>
        <v>C:\Users\maxim\Documents\GitHub\Ozon_upload\DTF_images\names\мальчики\Мухаммад_img.tif</v>
      </c>
      <c r="F15" s="1">
        <v>1</v>
      </c>
      <c r="G15" s="1">
        <v>2</v>
      </c>
      <c r="I15" s="11" t="s">
        <v>103</v>
      </c>
      <c r="K15" s="1" t="s">
        <v>48</v>
      </c>
      <c r="AB15" s="9" t="s">
        <v>50</v>
      </c>
      <c r="AM15" s="1">
        <v>16</v>
      </c>
      <c r="AN15" s="1">
        <v>180</v>
      </c>
      <c r="AO15" s="1">
        <v>1</v>
      </c>
      <c r="AP15" s="1">
        <v>250</v>
      </c>
      <c r="AQ15" s="2" t="s">
        <v>51</v>
      </c>
    </row>
    <row r="16" spans="1:44" x14ac:dyDescent="0.2">
      <c r="A16" s="9" t="s">
        <v>104</v>
      </c>
      <c r="B16" s="1" t="s">
        <v>105</v>
      </c>
      <c r="C16" s="1" t="s">
        <v>106</v>
      </c>
      <c r="D16" s="1" t="str">
        <f t="shared" si="0"/>
        <v>Documents\GitHub\Ozon_upload\barcode\бирки имена\мальчики\Термобирки Кирилл.pdf</v>
      </c>
      <c r="E16" s="10" t="str">
        <f t="shared" si="1"/>
        <v>C:\Users\maxim\Documents\GitHub\Ozon_upload\DTF_images\names\мальчики\Кирилл_img.tif</v>
      </c>
      <c r="F16" s="1">
        <v>1</v>
      </c>
      <c r="G16" s="1">
        <v>2</v>
      </c>
      <c r="I16" s="11" t="s">
        <v>107</v>
      </c>
      <c r="K16" s="1" t="s">
        <v>48</v>
      </c>
      <c r="AB16" s="9" t="s">
        <v>50</v>
      </c>
      <c r="AM16" s="1">
        <v>16</v>
      </c>
      <c r="AN16" s="1">
        <v>180</v>
      </c>
      <c r="AO16" s="1">
        <v>1</v>
      </c>
      <c r="AP16" s="1">
        <v>250</v>
      </c>
      <c r="AQ16" s="2" t="s">
        <v>51</v>
      </c>
    </row>
    <row r="17" spans="1:43" x14ac:dyDescent="0.2">
      <c r="A17" s="9" t="s">
        <v>108</v>
      </c>
      <c r="B17" s="1" t="s">
        <v>109</v>
      </c>
      <c r="C17" s="1" t="s">
        <v>110</v>
      </c>
      <c r="D17" s="1" t="str">
        <f t="shared" si="0"/>
        <v>Documents\GitHub\Ozon_upload\barcode\бирки имена\мальчики\Термобирки Егор.pdf</v>
      </c>
      <c r="E17" s="10" t="str">
        <f t="shared" si="1"/>
        <v>C:\Users\maxim\Documents\GitHub\Ozon_upload\DTF_images\names\мальчики\Егор_img.tif</v>
      </c>
      <c r="F17" s="1">
        <v>1</v>
      </c>
      <c r="G17" s="1">
        <v>2</v>
      </c>
      <c r="I17" s="11" t="s">
        <v>111</v>
      </c>
      <c r="K17" s="1" t="s">
        <v>48</v>
      </c>
      <c r="AB17" s="9" t="s">
        <v>50</v>
      </c>
      <c r="AM17" s="1">
        <v>16</v>
      </c>
      <c r="AN17" s="1">
        <v>180</v>
      </c>
      <c r="AO17" s="1">
        <v>1</v>
      </c>
      <c r="AP17" s="1">
        <v>250</v>
      </c>
      <c r="AQ17" s="2" t="s">
        <v>51</v>
      </c>
    </row>
    <row r="18" spans="1:43" x14ac:dyDescent="0.2">
      <c r="A18" s="9" t="s">
        <v>112</v>
      </c>
      <c r="B18" s="1" t="s">
        <v>113</v>
      </c>
      <c r="C18" s="1" t="s">
        <v>114</v>
      </c>
      <c r="D18" s="1" t="str">
        <f t="shared" si="0"/>
        <v>Documents\GitHub\Ozon_upload\barcode\бирки имена\мальчики\Термобирки Илья.pdf</v>
      </c>
      <c r="E18" s="10" t="str">
        <f t="shared" si="1"/>
        <v>C:\Users\maxim\Documents\GitHub\Ozon_upload\DTF_images\names\мальчики\Илья_img.tif</v>
      </c>
      <c r="F18" s="1">
        <v>1</v>
      </c>
      <c r="G18" s="1">
        <v>2</v>
      </c>
      <c r="I18" s="11" t="s">
        <v>115</v>
      </c>
      <c r="K18" s="1" t="s">
        <v>48</v>
      </c>
      <c r="AB18" s="9" t="s">
        <v>50</v>
      </c>
      <c r="AM18" s="1">
        <v>16</v>
      </c>
      <c r="AN18" s="1">
        <v>180</v>
      </c>
      <c r="AO18" s="1">
        <v>1</v>
      </c>
      <c r="AP18" s="1">
        <v>250</v>
      </c>
      <c r="AQ18" s="2" t="s">
        <v>51</v>
      </c>
    </row>
    <row r="19" spans="1:43" x14ac:dyDescent="0.2">
      <c r="A19" s="9" t="s">
        <v>116</v>
      </c>
      <c r="B19" s="1" t="s">
        <v>117</v>
      </c>
      <c r="C19" s="1" t="s">
        <v>118</v>
      </c>
      <c r="D19" s="1" t="str">
        <f t="shared" si="0"/>
        <v>Documents\GitHub\Ozon_upload\barcode\бирки имена\мальчики\Термобирки Алексей.pdf</v>
      </c>
      <c r="E19" s="10" t="str">
        <f t="shared" si="1"/>
        <v>C:\Users\maxim\Documents\GitHub\Ozon_upload\DTF_images\names\мальчики\Алексей_img.tif</v>
      </c>
      <c r="F19" s="1">
        <v>1</v>
      </c>
      <c r="G19" s="1">
        <v>2</v>
      </c>
      <c r="I19" s="11" t="s">
        <v>119</v>
      </c>
      <c r="K19" s="1" t="s">
        <v>48</v>
      </c>
      <c r="AB19" s="9" t="s">
        <v>50</v>
      </c>
      <c r="AM19" s="1">
        <v>16</v>
      </c>
      <c r="AN19" s="1">
        <v>180</v>
      </c>
      <c r="AO19" s="1">
        <v>1</v>
      </c>
      <c r="AP19" s="1">
        <v>250</v>
      </c>
      <c r="AQ19" s="2" t="s">
        <v>51</v>
      </c>
    </row>
    <row r="20" spans="1:43" x14ac:dyDescent="0.2">
      <c r="A20" s="9" t="s">
        <v>120</v>
      </c>
      <c r="B20" s="1" t="s">
        <v>121</v>
      </c>
      <c r="C20" s="1" t="s">
        <v>122</v>
      </c>
      <c r="D20" s="1" t="str">
        <f t="shared" si="0"/>
        <v>Documents\GitHub\Ozon_upload\barcode\бирки имена\мальчики\Термобирки Константин.pdf</v>
      </c>
      <c r="E20" s="10" t="str">
        <f t="shared" si="1"/>
        <v>C:\Users\maxim\Documents\GitHub\Ozon_upload\DTF_images\names\мальчики\Константин_img.tif</v>
      </c>
      <c r="F20" s="1">
        <v>1</v>
      </c>
      <c r="G20" s="1">
        <v>2</v>
      </c>
      <c r="I20" s="11" t="s">
        <v>123</v>
      </c>
      <c r="K20" s="1" t="s">
        <v>48</v>
      </c>
      <c r="AB20" s="9" t="s">
        <v>50</v>
      </c>
      <c r="AM20" s="1">
        <v>16</v>
      </c>
      <c r="AN20" s="1">
        <v>180</v>
      </c>
      <c r="AO20" s="1">
        <v>1</v>
      </c>
      <c r="AP20" s="1">
        <v>250</v>
      </c>
      <c r="AQ20" s="2" t="s">
        <v>51</v>
      </c>
    </row>
    <row r="21" spans="1:43" x14ac:dyDescent="0.2">
      <c r="A21" s="9" t="s">
        <v>124</v>
      </c>
      <c r="B21" s="1" t="s">
        <v>125</v>
      </c>
      <c r="C21" s="1" t="s">
        <v>126</v>
      </c>
      <c r="D21" s="1" t="str">
        <f t="shared" si="0"/>
        <v>Documents\GitHub\Ozon_upload\barcode\бирки имена\мальчики\Термобирки Фёдор.pdf</v>
      </c>
      <c r="E21" s="10" t="str">
        <f t="shared" si="1"/>
        <v>C:\Users\maxim\Documents\GitHub\Ozon_upload\DTF_images\names\мальчики\Фёдор_img.tif</v>
      </c>
      <c r="F21" s="1">
        <v>1</v>
      </c>
      <c r="G21" s="1">
        <v>2</v>
      </c>
      <c r="I21" s="11" t="s">
        <v>127</v>
      </c>
      <c r="K21" s="1" t="s">
        <v>48</v>
      </c>
      <c r="AB21" s="9" t="s">
        <v>50</v>
      </c>
      <c r="AM21" s="1">
        <v>16</v>
      </c>
      <c r="AN21" s="1">
        <v>180</v>
      </c>
      <c r="AO21" s="1">
        <v>1</v>
      </c>
      <c r="AP21" s="1">
        <v>250</v>
      </c>
      <c r="AQ21" s="2" t="s">
        <v>51</v>
      </c>
    </row>
    <row r="22" spans="1:43" x14ac:dyDescent="0.2">
      <c r="A22" s="9" t="s">
        <v>128</v>
      </c>
      <c r="B22" s="1" t="s">
        <v>129</v>
      </c>
      <c r="C22" s="1" t="s">
        <v>130</v>
      </c>
      <c r="D22" s="1" t="str">
        <f t="shared" si="0"/>
        <v>Documents\GitHub\Ozon_upload\barcode\бирки имена\мальчики\Термобирки Евгений.pdf</v>
      </c>
      <c r="E22" s="10" t="str">
        <f t="shared" si="1"/>
        <v>C:\Users\maxim\Documents\GitHub\Ozon_upload\DTF_images\names\мальчики\Евгений_img.tif</v>
      </c>
      <c r="F22" s="1">
        <v>1</v>
      </c>
      <c r="G22" s="1">
        <v>2</v>
      </c>
      <c r="I22" s="11" t="s">
        <v>131</v>
      </c>
      <c r="K22" s="1" t="s">
        <v>48</v>
      </c>
      <c r="AB22" s="9" t="s">
        <v>50</v>
      </c>
      <c r="AM22" s="1">
        <v>16</v>
      </c>
      <c r="AN22" s="1">
        <v>180</v>
      </c>
      <c r="AO22" s="1">
        <v>1</v>
      </c>
      <c r="AP22" s="1">
        <v>250</v>
      </c>
      <c r="AQ22" s="2" t="s">
        <v>51</v>
      </c>
    </row>
    <row r="23" spans="1:43" x14ac:dyDescent="0.2">
      <c r="A23" s="9" t="s">
        <v>132</v>
      </c>
      <c r="B23" s="1" t="s">
        <v>133</v>
      </c>
      <c r="C23" s="1" t="s">
        <v>134</v>
      </c>
      <c r="D23" s="1" t="str">
        <f t="shared" si="0"/>
        <v>Documents\GitHub\Ozon_upload\barcode\бирки имена\мальчики\Термобирки Денис.pdf</v>
      </c>
      <c r="E23" s="10" t="str">
        <f t="shared" si="1"/>
        <v>C:\Users\maxim\Documents\GitHub\Ozon_upload\DTF_images\names\мальчики\Денис_img.tif</v>
      </c>
      <c r="F23" s="1">
        <v>1</v>
      </c>
      <c r="G23" s="1">
        <v>2</v>
      </c>
      <c r="I23" s="11" t="s">
        <v>135</v>
      </c>
      <c r="K23" s="1" t="s">
        <v>48</v>
      </c>
      <c r="AB23" s="9" t="s">
        <v>50</v>
      </c>
      <c r="AM23" s="1">
        <v>16</v>
      </c>
      <c r="AN23" s="1">
        <v>180</v>
      </c>
      <c r="AO23" s="1">
        <v>1</v>
      </c>
      <c r="AP23" s="1">
        <v>250</v>
      </c>
      <c r="AQ23" s="2" t="s">
        <v>51</v>
      </c>
    </row>
    <row r="24" spans="1:43" x14ac:dyDescent="0.2">
      <c r="A24" s="9" t="s">
        <v>136</v>
      </c>
      <c r="B24" s="1" t="s">
        <v>137</v>
      </c>
      <c r="C24" s="1" t="s">
        <v>138</v>
      </c>
      <c r="D24" s="1" t="str">
        <f t="shared" si="0"/>
        <v>Documents\GitHub\Ozon_upload\barcode\бирки имена\мальчики\Термобирки Антон.pdf</v>
      </c>
      <c r="E24" s="10" t="str">
        <f t="shared" si="1"/>
        <v>C:\Users\maxim\Documents\GitHub\Ozon_upload\DTF_images\names\мальчики\Антон_img.tif</v>
      </c>
      <c r="F24" s="1">
        <v>1</v>
      </c>
      <c r="G24" s="1">
        <v>2</v>
      </c>
      <c r="I24" s="11" t="s">
        <v>139</v>
      </c>
      <c r="K24" s="1" t="s">
        <v>48</v>
      </c>
      <c r="AB24" s="9" t="s">
        <v>50</v>
      </c>
      <c r="AM24" s="1">
        <v>16</v>
      </c>
      <c r="AN24" s="1">
        <v>180</v>
      </c>
      <c r="AO24" s="1">
        <v>1</v>
      </c>
      <c r="AP24" s="1">
        <v>250</v>
      </c>
      <c r="AQ24" s="2" t="s">
        <v>51</v>
      </c>
    </row>
    <row r="25" spans="1:43" x14ac:dyDescent="0.2">
      <c r="A25" s="9" t="s">
        <v>140</v>
      </c>
      <c r="B25" s="1" t="s">
        <v>141</v>
      </c>
      <c r="C25" s="1" t="s">
        <v>142</v>
      </c>
      <c r="D25" s="1" t="str">
        <f t="shared" si="0"/>
        <v>Documents\GitHub\Ozon_upload\barcode\бирки имена\мальчики\Термобирки Игорь.pdf</v>
      </c>
      <c r="E25" s="10" t="str">
        <f t="shared" si="1"/>
        <v>C:\Users\maxim\Documents\GitHub\Ozon_upload\DTF_images\names\мальчики\Игорь_img.tif</v>
      </c>
      <c r="F25" s="1">
        <v>1</v>
      </c>
      <c r="G25" s="1">
        <v>2</v>
      </c>
      <c r="I25" s="11" t="s">
        <v>143</v>
      </c>
      <c r="K25" s="1" t="s">
        <v>48</v>
      </c>
      <c r="AB25" s="9" t="s">
        <v>50</v>
      </c>
      <c r="AM25" s="1">
        <v>16</v>
      </c>
      <c r="AN25" s="1">
        <v>180</v>
      </c>
      <c r="AO25" s="1">
        <v>1</v>
      </c>
      <c r="AP25" s="1">
        <v>250</v>
      </c>
      <c r="AQ25" s="2" t="s">
        <v>51</v>
      </c>
    </row>
    <row r="26" spans="1:43" x14ac:dyDescent="0.2">
      <c r="A26" s="9" t="s">
        <v>144</v>
      </c>
      <c r="B26" s="1" t="s">
        <v>145</v>
      </c>
      <c r="C26" s="1" t="s">
        <v>146</v>
      </c>
      <c r="D26" s="1" t="str">
        <f t="shared" si="0"/>
        <v>Documents\GitHub\Ozon_upload\barcode\бирки имена\мальчики\Термобирки Юрий.pdf</v>
      </c>
      <c r="E26" s="10" t="str">
        <f t="shared" si="1"/>
        <v>C:\Users\maxim\Documents\GitHub\Ozon_upload\DTF_images\names\мальчики\Юрий_img.tif</v>
      </c>
      <c r="F26" s="1">
        <v>1</v>
      </c>
      <c r="G26" s="1">
        <v>2</v>
      </c>
      <c r="I26" s="11" t="s">
        <v>147</v>
      </c>
      <c r="K26" s="1" t="s">
        <v>48</v>
      </c>
      <c r="AB26" s="9" t="s">
        <v>50</v>
      </c>
      <c r="AM26" s="1">
        <v>16</v>
      </c>
      <c r="AN26" s="1">
        <v>180</v>
      </c>
      <c r="AO26" s="1">
        <v>1</v>
      </c>
      <c r="AP26" s="1">
        <v>250</v>
      </c>
      <c r="AQ26" s="2" t="s">
        <v>51</v>
      </c>
    </row>
    <row r="27" spans="1:43" x14ac:dyDescent="0.2">
      <c r="A27" s="9" t="s">
        <v>148</v>
      </c>
      <c r="B27" s="1" t="s">
        <v>149</v>
      </c>
      <c r="C27" s="1" t="s">
        <v>150</v>
      </c>
      <c r="D27" s="1" t="str">
        <f t="shared" si="0"/>
        <v>Documents\GitHub\Ozon_upload\barcode\бирки имена\мальчики\Термобирки Олег.pdf</v>
      </c>
      <c r="E27" s="10" t="str">
        <f t="shared" si="1"/>
        <v>C:\Users\maxim\Documents\GitHub\Ozon_upload\DTF_images\names\мальчики\Олег_img.tif</v>
      </c>
      <c r="F27" s="1">
        <v>1</v>
      </c>
      <c r="G27" s="1">
        <v>2</v>
      </c>
      <c r="I27" s="11" t="s">
        <v>151</v>
      </c>
      <c r="K27" s="1" t="s">
        <v>48</v>
      </c>
      <c r="AB27" s="9" t="s">
        <v>50</v>
      </c>
      <c r="AM27" s="1">
        <v>16</v>
      </c>
      <c r="AN27" s="1">
        <v>180</v>
      </c>
      <c r="AO27" s="1">
        <v>1</v>
      </c>
      <c r="AP27" s="1">
        <v>250</v>
      </c>
      <c r="AQ27" s="2" t="s">
        <v>51</v>
      </c>
    </row>
    <row r="28" spans="1:43" x14ac:dyDescent="0.2">
      <c r="A28" s="9" t="s">
        <v>152</v>
      </c>
      <c r="B28" s="1" t="s">
        <v>153</v>
      </c>
      <c r="C28" s="1" t="s">
        <v>154</v>
      </c>
      <c r="D28" s="1" t="str">
        <f t="shared" si="0"/>
        <v>Documents\GitHub\Ozon_upload\barcode\бирки имена\мальчики\Термобирки Вячеслав.pdf</v>
      </c>
      <c r="E28" s="10" t="str">
        <f t="shared" si="1"/>
        <v>C:\Users\maxim\Documents\GitHub\Ozon_upload\DTF_images\names\мальчики\Вячеслав_img.tif</v>
      </c>
      <c r="F28" s="1">
        <v>1</v>
      </c>
      <c r="G28" s="1">
        <v>2</v>
      </c>
      <c r="I28" s="11" t="s">
        <v>155</v>
      </c>
      <c r="K28" s="1" t="s">
        <v>48</v>
      </c>
      <c r="AB28" s="9" t="s">
        <v>50</v>
      </c>
      <c r="AM28" s="1">
        <v>16</v>
      </c>
      <c r="AN28" s="1">
        <v>180</v>
      </c>
      <c r="AO28" s="1">
        <v>1</v>
      </c>
      <c r="AP28" s="1">
        <v>250</v>
      </c>
      <c r="AQ28" s="2" t="s">
        <v>51</v>
      </c>
    </row>
    <row r="29" spans="1:43" x14ac:dyDescent="0.2">
      <c r="A29" s="9" t="s">
        <v>156</v>
      </c>
      <c r="B29" s="1" t="s">
        <v>157</v>
      </c>
      <c r="C29" s="1" t="s">
        <v>158</v>
      </c>
      <c r="D29" s="1" t="str">
        <f t="shared" si="0"/>
        <v>Documents\GitHub\Ozon_upload\barcode\бирки имена\мальчики\Термобирки Станислав.pdf</v>
      </c>
      <c r="E29" s="10" t="str">
        <f t="shared" si="1"/>
        <v>C:\Users\maxim\Documents\GitHub\Ozon_upload\DTF_images\names\мальчики\Станислав_img.tif</v>
      </c>
      <c r="F29" s="1">
        <v>1</v>
      </c>
      <c r="G29" s="1">
        <v>2</v>
      </c>
      <c r="I29" s="11" t="s">
        <v>159</v>
      </c>
      <c r="K29" s="1" t="s">
        <v>48</v>
      </c>
      <c r="AB29" s="9" t="s">
        <v>50</v>
      </c>
      <c r="AM29" s="1">
        <v>16</v>
      </c>
      <c r="AN29" s="1">
        <v>180</v>
      </c>
      <c r="AO29" s="1">
        <v>1</v>
      </c>
      <c r="AP29" s="1">
        <v>250</v>
      </c>
      <c r="AQ29" s="2" t="s">
        <v>51</v>
      </c>
    </row>
    <row r="30" spans="1:43" x14ac:dyDescent="0.2">
      <c r="A30" s="9" t="s">
        <v>160</v>
      </c>
      <c r="B30" s="1" t="s">
        <v>161</v>
      </c>
      <c r="C30" s="1" t="s">
        <v>162</v>
      </c>
      <c r="D30" s="1" t="str">
        <f t="shared" si="0"/>
        <v>Documents\GitHub\Ozon_upload\barcode\бирки имена\мальчики\Термобирки Василий.pdf</v>
      </c>
      <c r="E30" s="10" t="str">
        <f t="shared" si="1"/>
        <v>C:\Users\maxim\Documents\GitHub\Ozon_upload\DTF_images\names\мальчики\Василий_img.tif</v>
      </c>
      <c r="F30" s="1">
        <v>1</v>
      </c>
      <c r="G30" s="1">
        <v>2</v>
      </c>
      <c r="I30" s="11" t="s">
        <v>163</v>
      </c>
      <c r="K30" s="1" t="s">
        <v>48</v>
      </c>
      <c r="AB30" s="9" t="s">
        <v>50</v>
      </c>
      <c r="AM30" s="1">
        <v>16</v>
      </c>
      <c r="AN30" s="1">
        <v>180</v>
      </c>
      <c r="AO30" s="1">
        <v>1</v>
      </c>
      <c r="AP30" s="1">
        <v>250</v>
      </c>
      <c r="AQ30" s="2" t="s">
        <v>51</v>
      </c>
    </row>
    <row r="31" spans="1:43" x14ac:dyDescent="0.2">
      <c r="A31" s="9" t="s">
        <v>164</v>
      </c>
      <c r="B31" s="1" t="s">
        <v>165</v>
      </c>
      <c r="C31" s="1" t="s">
        <v>166</v>
      </c>
      <c r="D31" s="1" t="str">
        <f t="shared" si="0"/>
        <v>Documents\GitHub\Ozon_upload\barcode\бирки имена\мальчики\Термобирки Вадим.pdf</v>
      </c>
      <c r="E31" s="10" t="str">
        <f t="shared" si="1"/>
        <v>C:\Users\maxim\Documents\GitHub\Ozon_upload\DTF_images\names\мальчики\Вадим_img.tif</v>
      </c>
      <c r="F31" s="1">
        <v>1</v>
      </c>
      <c r="G31" s="1">
        <v>2</v>
      </c>
      <c r="I31" s="11" t="s">
        <v>167</v>
      </c>
      <c r="K31" s="1" t="s">
        <v>48</v>
      </c>
      <c r="AB31" s="9" t="s">
        <v>50</v>
      </c>
      <c r="AM31" s="1">
        <v>16</v>
      </c>
      <c r="AN31" s="1">
        <v>180</v>
      </c>
      <c r="AO31" s="1">
        <v>1</v>
      </c>
      <c r="AP31" s="1">
        <v>250</v>
      </c>
      <c r="AQ31" s="2" t="s">
        <v>51</v>
      </c>
    </row>
    <row r="32" spans="1:43" x14ac:dyDescent="0.2">
      <c r="A32" s="9" t="s">
        <v>168</v>
      </c>
      <c r="B32" s="1" t="s">
        <v>169</v>
      </c>
      <c r="C32" s="1" t="s">
        <v>170</v>
      </c>
      <c r="D32" s="1" t="str">
        <f t="shared" si="0"/>
        <v>Documents\GitHub\Ozon_upload\barcode\бирки имена\мальчики\Термобирки Макар.pdf</v>
      </c>
      <c r="E32" s="10" t="str">
        <f t="shared" si="1"/>
        <v>C:\Users\maxim\Documents\GitHub\Ozon_upload\DTF_images\names\мальчики\Макар_img.tif</v>
      </c>
      <c r="F32" s="1">
        <v>1</v>
      </c>
      <c r="G32" s="1">
        <v>2</v>
      </c>
      <c r="I32" s="11" t="s">
        <v>171</v>
      </c>
      <c r="K32" s="1" t="s">
        <v>48</v>
      </c>
      <c r="AB32" s="9" t="s">
        <v>50</v>
      </c>
      <c r="AM32" s="1">
        <v>16</v>
      </c>
      <c r="AN32" s="1">
        <v>180</v>
      </c>
      <c r="AO32" s="1">
        <v>1</v>
      </c>
      <c r="AP32" s="1">
        <v>250</v>
      </c>
      <c r="AQ32" s="2" t="s">
        <v>51</v>
      </c>
    </row>
    <row r="33" spans="1:43" x14ac:dyDescent="0.2">
      <c r="A33" s="9" t="s">
        <v>172</v>
      </c>
      <c r="B33" s="1" t="s">
        <v>173</v>
      </c>
      <c r="C33" s="1" t="s">
        <v>174</v>
      </c>
      <c r="D33" s="1" t="str">
        <f t="shared" si="0"/>
        <v>Documents\GitHub\Ozon_upload\barcode\бирки имена\мальчики\Термобирки Адам.pdf</v>
      </c>
      <c r="E33" s="10" t="str">
        <f t="shared" si="1"/>
        <v>C:\Users\maxim\Documents\GitHub\Ozon_upload\DTF_images\names\мальчики\Адам_img.tif</v>
      </c>
      <c r="F33" s="1">
        <v>1</v>
      </c>
      <c r="G33" s="1">
        <v>2</v>
      </c>
      <c r="I33" s="11" t="s">
        <v>175</v>
      </c>
      <c r="K33" s="1" t="s">
        <v>48</v>
      </c>
      <c r="AB33" s="9" t="s">
        <v>50</v>
      </c>
      <c r="AM33" s="1">
        <v>16</v>
      </c>
      <c r="AN33" s="1">
        <v>180</v>
      </c>
      <c r="AO33" s="1">
        <v>1</v>
      </c>
      <c r="AP33" s="1">
        <v>250</v>
      </c>
      <c r="AQ33" s="2" t="s">
        <v>51</v>
      </c>
    </row>
    <row r="34" spans="1:43" x14ac:dyDescent="0.2">
      <c r="A34" s="9" t="s">
        <v>176</v>
      </c>
      <c r="B34" s="1" t="s">
        <v>177</v>
      </c>
      <c r="C34" s="1" t="s">
        <v>178</v>
      </c>
      <c r="D34" s="1" t="str">
        <f t="shared" si="0"/>
        <v>Documents\GitHub\Ozon_upload\barcode\бирки имена\мальчики\Термобирки Богдан.pdf</v>
      </c>
      <c r="E34" s="10" t="str">
        <f t="shared" si="1"/>
        <v>C:\Users\maxim\Documents\GitHub\Ozon_upload\DTF_images\names\мальчики\Богдан_img.tif</v>
      </c>
      <c r="F34" s="1">
        <v>1</v>
      </c>
      <c r="G34" s="1">
        <v>2</v>
      </c>
      <c r="I34" s="11" t="s">
        <v>179</v>
      </c>
      <c r="K34" s="1" t="s">
        <v>48</v>
      </c>
      <c r="AB34" s="9" t="s">
        <v>50</v>
      </c>
      <c r="AM34" s="1">
        <v>16</v>
      </c>
      <c r="AN34" s="1">
        <v>180</v>
      </c>
      <c r="AO34" s="1">
        <v>1</v>
      </c>
      <c r="AP34" s="1">
        <v>250</v>
      </c>
      <c r="AQ34" s="2" t="s">
        <v>51</v>
      </c>
    </row>
    <row r="35" spans="1:43" x14ac:dyDescent="0.2">
      <c r="A35" s="9" t="s">
        <v>180</v>
      </c>
      <c r="B35" s="1" t="s">
        <v>181</v>
      </c>
      <c r="C35" s="1" t="s">
        <v>182</v>
      </c>
      <c r="D35" s="1" t="str">
        <f t="shared" si="0"/>
        <v>Documents\GitHub\Ozon_upload\barcode\бирки имена\мальчики\Термобирки Платон.pdf</v>
      </c>
      <c r="E35" s="10" t="str">
        <f t="shared" si="1"/>
        <v>C:\Users\maxim\Documents\GitHub\Ozon_upload\DTF_images\names\мальчики\Платон_img.tif</v>
      </c>
      <c r="F35" s="1">
        <v>1</v>
      </c>
      <c r="G35" s="1">
        <v>2</v>
      </c>
      <c r="I35" s="11" t="s">
        <v>183</v>
      </c>
      <c r="K35" s="1" t="s">
        <v>48</v>
      </c>
      <c r="AB35" s="9" t="s">
        <v>50</v>
      </c>
      <c r="AM35" s="1">
        <v>16</v>
      </c>
      <c r="AN35" s="1">
        <v>180</v>
      </c>
      <c r="AO35" s="1">
        <v>1</v>
      </c>
      <c r="AP35" s="1">
        <v>250</v>
      </c>
      <c r="AQ35" s="2" t="s">
        <v>51</v>
      </c>
    </row>
    <row r="36" spans="1:43" x14ac:dyDescent="0.2">
      <c r="A36" s="9" t="s">
        <v>184</v>
      </c>
      <c r="B36" s="1" t="s">
        <v>185</v>
      </c>
      <c r="C36" s="1" t="s">
        <v>186</v>
      </c>
      <c r="D36" s="1" t="str">
        <f t="shared" si="0"/>
        <v>Documents\GitHub\Ozon_upload\barcode\бирки имена\мальчики\Термобирки Леон.pdf</v>
      </c>
      <c r="E36" s="10" t="str">
        <f t="shared" si="1"/>
        <v>C:\Users\maxim\Documents\GitHub\Ozon_upload\DTF_images\names\мальчики\Леон_img.tif</v>
      </c>
      <c r="F36" s="1">
        <v>1</v>
      </c>
      <c r="G36" s="1">
        <v>2</v>
      </c>
      <c r="I36" s="11" t="s">
        <v>187</v>
      </c>
      <c r="K36" s="1" t="s">
        <v>48</v>
      </c>
      <c r="AB36" s="9" t="s">
        <v>50</v>
      </c>
      <c r="AM36" s="1">
        <v>16</v>
      </c>
      <c r="AN36" s="1">
        <v>180</v>
      </c>
      <c r="AO36" s="1">
        <v>1</v>
      </c>
      <c r="AP36" s="1">
        <v>250</v>
      </c>
      <c r="AQ36" s="2" t="s">
        <v>51</v>
      </c>
    </row>
    <row r="37" spans="1:43" x14ac:dyDescent="0.2">
      <c r="A37" s="9" t="s">
        <v>188</v>
      </c>
      <c r="B37" s="1" t="s">
        <v>189</v>
      </c>
      <c r="C37" s="1" t="s">
        <v>190</v>
      </c>
      <c r="D37" s="1" t="str">
        <f t="shared" si="0"/>
        <v>Documents\GitHub\Ozon_upload\barcode\бирки имена\мальчики\Термобирки Савелий.pdf</v>
      </c>
      <c r="E37" s="10" t="str">
        <f t="shared" si="1"/>
        <v>C:\Users\maxim\Documents\GitHub\Ozon_upload\DTF_images\names\мальчики\Савелий_img.tif</v>
      </c>
      <c r="F37" s="1">
        <v>1</v>
      </c>
      <c r="G37" s="1">
        <v>2</v>
      </c>
      <c r="I37" s="11" t="s">
        <v>191</v>
      </c>
      <c r="K37" s="1" t="s">
        <v>48</v>
      </c>
      <c r="AB37" s="9" t="s">
        <v>50</v>
      </c>
      <c r="AM37" s="1">
        <v>16</v>
      </c>
      <c r="AN37" s="1">
        <v>180</v>
      </c>
      <c r="AO37" s="1">
        <v>1</v>
      </c>
      <c r="AP37" s="1">
        <v>250</v>
      </c>
      <c r="AQ37" s="2" t="s">
        <v>51</v>
      </c>
    </row>
    <row r="38" spans="1:43" x14ac:dyDescent="0.2">
      <c r="A38" s="9" t="s">
        <v>192</v>
      </c>
      <c r="B38" s="1" t="s">
        <v>193</v>
      </c>
      <c r="C38" s="1" t="s">
        <v>194</v>
      </c>
      <c r="D38" s="1" t="str">
        <f t="shared" si="0"/>
        <v>Documents\GitHub\Ozon_upload\barcode\бирки имена\мальчики\Термобирки Демид.pdf</v>
      </c>
      <c r="E38" s="10" t="str">
        <f t="shared" si="1"/>
        <v>C:\Users\maxim\Documents\GitHub\Ozon_upload\DTF_images\names\мальчики\Демид_img.tif</v>
      </c>
      <c r="F38" s="1">
        <v>1</v>
      </c>
      <c r="G38" s="1">
        <v>2</v>
      </c>
      <c r="I38" s="11" t="s">
        <v>195</v>
      </c>
      <c r="K38" s="1" t="s">
        <v>48</v>
      </c>
      <c r="AB38" s="9" t="s">
        <v>50</v>
      </c>
      <c r="AM38" s="1">
        <v>16</v>
      </c>
      <c r="AN38" s="1">
        <v>180</v>
      </c>
      <c r="AO38" s="1">
        <v>1</v>
      </c>
      <c r="AP38" s="1">
        <v>250</v>
      </c>
      <c r="AQ38" s="2" t="s">
        <v>51</v>
      </c>
    </row>
    <row r="39" spans="1:43" x14ac:dyDescent="0.2">
      <c r="A39" s="9" t="s">
        <v>196</v>
      </c>
      <c r="B39" s="1" t="s">
        <v>197</v>
      </c>
      <c r="C39" s="1" t="s">
        <v>198</v>
      </c>
      <c r="D39" s="1" t="str">
        <f t="shared" si="0"/>
        <v>Documents\GitHub\Ozon_upload\barcode\бирки имена\мальчики\Термобирки Лука.pdf</v>
      </c>
      <c r="E39" s="10" t="str">
        <f t="shared" si="1"/>
        <v>C:\Users\maxim\Documents\GitHub\Ozon_upload\DTF_images\names\мальчики\Лука_img.tif</v>
      </c>
      <c r="F39" s="1">
        <v>1</v>
      </c>
      <c r="G39" s="1">
        <v>2</v>
      </c>
      <c r="I39" s="11" t="s">
        <v>199</v>
      </c>
      <c r="K39" s="1" t="s">
        <v>48</v>
      </c>
      <c r="AB39" s="9" t="s">
        <v>50</v>
      </c>
      <c r="AM39" s="1">
        <v>16</v>
      </c>
      <c r="AN39" s="1">
        <v>180</v>
      </c>
      <c r="AO39" s="1">
        <v>1</v>
      </c>
      <c r="AP39" s="1">
        <v>250</v>
      </c>
      <c r="AQ39" s="2" t="s">
        <v>51</v>
      </c>
    </row>
    <row r="40" spans="1:43" x14ac:dyDescent="0.2">
      <c r="A40" s="9" t="s">
        <v>200</v>
      </c>
      <c r="B40" s="1" t="s">
        <v>201</v>
      </c>
      <c r="C40" s="1" t="s">
        <v>202</v>
      </c>
      <c r="D40" s="1" t="str">
        <f t="shared" si="0"/>
        <v>Documents\GitHub\Ozon_upload\barcode\бирки имена\мальчики\Термобирки Савва.pdf</v>
      </c>
      <c r="E40" s="10" t="str">
        <f t="shared" si="1"/>
        <v>C:\Users\maxim\Documents\GitHub\Ozon_upload\DTF_images\names\мальчики\Савва_img.tif</v>
      </c>
      <c r="F40" s="1">
        <v>1</v>
      </c>
      <c r="G40" s="1">
        <v>2</v>
      </c>
      <c r="I40" s="11" t="s">
        <v>203</v>
      </c>
      <c r="K40" s="1" t="s">
        <v>48</v>
      </c>
      <c r="AB40" s="9" t="s">
        <v>50</v>
      </c>
      <c r="AM40" s="1">
        <v>16</v>
      </c>
      <c r="AN40" s="1">
        <v>180</v>
      </c>
      <c r="AO40" s="1">
        <v>1</v>
      </c>
      <c r="AP40" s="1">
        <v>250</v>
      </c>
      <c r="AQ40" s="2" t="s">
        <v>51</v>
      </c>
    </row>
    <row r="41" spans="1:43" x14ac:dyDescent="0.2">
      <c r="A41" s="9" t="s">
        <v>204</v>
      </c>
      <c r="B41" s="1" t="s">
        <v>205</v>
      </c>
      <c r="C41" s="1" t="s">
        <v>206</v>
      </c>
      <c r="D41" s="1" t="str">
        <f t="shared" si="0"/>
        <v>Documents\GitHub\Ozon_upload\barcode\бирки имена\мальчики\Термобирки Мирослав.pdf</v>
      </c>
      <c r="E41" s="10" t="str">
        <f t="shared" si="1"/>
        <v>C:\Users\maxim\Documents\GitHub\Ozon_upload\DTF_images\names\мальчики\Мирослав_img.tif</v>
      </c>
      <c r="F41" s="1">
        <v>1</v>
      </c>
      <c r="G41" s="1">
        <v>2</v>
      </c>
      <c r="I41" s="11" t="s">
        <v>207</v>
      </c>
      <c r="K41" s="1" t="s">
        <v>48</v>
      </c>
      <c r="AB41" s="9" t="s">
        <v>50</v>
      </c>
      <c r="AM41" s="1">
        <v>16</v>
      </c>
      <c r="AN41" s="1">
        <v>180</v>
      </c>
      <c r="AO41" s="1">
        <v>1</v>
      </c>
      <c r="AP41" s="1">
        <v>250</v>
      </c>
      <c r="AQ41" s="2" t="s">
        <v>51</v>
      </c>
    </row>
    <row r="42" spans="1:43" x14ac:dyDescent="0.2">
      <c r="A42" s="9" t="s">
        <v>208</v>
      </c>
      <c r="B42" s="1" t="s">
        <v>209</v>
      </c>
      <c r="C42" s="1" t="s">
        <v>210</v>
      </c>
      <c r="D42" s="1" t="str">
        <f t="shared" ref="D42:D81" si="2">CONCATENATE("Documents\GitHub\Ozon_upload\barcode\бирки имена\девочки\", A42, ".pdf")</f>
        <v>Documents\GitHub\Ozon_upload\barcode\бирки имена\девочки\Термобирки София.pdf</v>
      </c>
      <c r="E42" s="10" t="str">
        <f t="shared" ref="E42:E81" si="3">CONCATENATE("C:\Users\maxim\Documents\GitHub\Ozon_upload\DTF_images\names\девочки\",,RIGHT(A42,LEN(A42)-FIND(" ",A42)),"_img.tif")</f>
        <v>C:\Users\maxim\Documents\GitHub\Ozon_upload\DTF_images\names\девочки\София_img.tif</v>
      </c>
      <c r="F42" s="1">
        <v>1</v>
      </c>
      <c r="G42" s="1">
        <v>2</v>
      </c>
      <c r="I42" s="11" t="s">
        <v>211</v>
      </c>
      <c r="K42" s="1" t="s">
        <v>48</v>
      </c>
      <c r="AB42" s="9" t="s">
        <v>50</v>
      </c>
      <c r="AM42" s="1">
        <v>16</v>
      </c>
      <c r="AN42" s="1">
        <v>180</v>
      </c>
      <c r="AO42" s="1">
        <v>1</v>
      </c>
      <c r="AP42" s="1">
        <v>250</v>
      </c>
      <c r="AQ42" s="2" t="s">
        <v>51</v>
      </c>
    </row>
    <row r="43" spans="1:43" x14ac:dyDescent="0.2">
      <c r="A43" s="9" t="s">
        <v>212</v>
      </c>
      <c r="B43" s="1" t="s">
        <v>213</v>
      </c>
      <c r="C43" s="12" t="s">
        <v>214</v>
      </c>
      <c r="D43" s="1" t="str">
        <f t="shared" si="2"/>
        <v>Documents\GitHub\Ozon_upload\barcode\бирки имена\девочки\Термобирки Анна.pdf</v>
      </c>
      <c r="E43" s="10" t="str">
        <f t="shared" si="3"/>
        <v>C:\Users\maxim\Documents\GitHub\Ozon_upload\DTF_images\names\девочки\Анна_img.tif</v>
      </c>
      <c r="F43" s="1">
        <v>1</v>
      </c>
      <c r="G43" s="1">
        <v>2</v>
      </c>
      <c r="I43" s="11" t="s">
        <v>215</v>
      </c>
      <c r="K43" s="1" t="s">
        <v>48</v>
      </c>
      <c r="AB43" s="9" t="s">
        <v>50</v>
      </c>
      <c r="AM43" s="1">
        <v>16</v>
      </c>
      <c r="AN43" s="1">
        <v>180</v>
      </c>
      <c r="AO43" s="1">
        <v>1</v>
      </c>
      <c r="AP43" s="1">
        <v>250</v>
      </c>
      <c r="AQ43" s="2" t="s">
        <v>51</v>
      </c>
    </row>
    <row r="44" spans="1:43" x14ac:dyDescent="0.2">
      <c r="A44" s="9" t="s">
        <v>216</v>
      </c>
      <c r="B44" s="1" t="s">
        <v>217</v>
      </c>
      <c r="C44" s="1" t="s">
        <v>218</v>
      </c>
      <c r="D44" s="1" t="str">
        <f t="shared" si="2"/>
        <v>Documents\GitHub\Ozon_upload\barcode\бирки имена\девочки\Термобирки Мария.pdf</v>
      </c>
      <c r="E44" s="10" t="str">
        <f t="shared" si="3"/>
        <v>C:\Users\maxim\Documents\GitHub\Ozon_upload\DTF_images\names\девочки\Мария_img.tif</v>
      </c>
      <c r="F44" s="1">
        <v>1</v>
      </c>
      <c r="G44" s="1">
        <v>2</v>
      </c>
      <c r="I44" s="11" t="s">
        <v>219</v>
      </c>
      <c r="K44" s="1" t="s">
        <v>48</v>
      </c>
      <c r="AB44" s="9" t="s">
        <v>50</v>
      </c>
      <c r="AM44" s="1">
        <v>16</v>
      </c>
      <c r="AN44" s="1">
        <v>180</v>
      </c>
      <c r="AO44" s="1">
        <v>1</v>
      </c>
      <c r="AP44" s="1">
        <v>250</v>
      </c>
      <c r="AQ44" s="2" t="s">
        <v>51</v>
      </c>
    </row>
    <row r="45" spans="1:43" x14ac:dyDescent="0.2">
      <c r="A45" s="9" t="s">
        <v>220</v>
      </c>
      <c r="B45" s="1" t="s">
        <v>221</v>
      </c>
      <c r="C45" s="1" t="s">
        <v>222</v>
      </c>
      <c r="D45" s="1" t="str">
        <f t="shared" si="2"/>
        <v>Documents\GitHub\Ozon_upload\barcode\бирки имена\девочки\Термобирки Ева.pdf</v>
      </c>
      <c r="E45" s="10" t="str">
        <f t="shared" si="3"/>
        <v>C:\Users\maxim\Documents\GitHub\Ozon_upload\DTF_images\names\девочки\Ева_img.tif</v>
      </c>
      <c r="F45" s="1">
        <v>1</v>
      </c>
      <c r="G45" s="1">
        <v>2</v>
      </c>
      <c r="I45" s="11" t="s">
        <v>223</v>
      </c>
      <c r="K45" s="1" t="s">
        <v>48</v>
      </c>
      <c r="AB45" s="9" t="s">
        <v>50</v>
      </c>
      <c r="AM45" s="1">
        <v>16</v>
      </c>
      <c r="AN45" s="1">
        <v>180</v>
      </c>
      <c r="AO45" s="1">
        <v>1</v>
      </c>
      <c r="AP45" s="1">
        <v>250</v>
      </c>
      <c r="AQ45" s="2" t="s">
        <v>51</v>
      </c>
    </row>
    <row r="46" spans="1:43" x14ac:dyDescent="0.2">
      <c r="A46" s="9" t="s">
        <v>224</v>
      </c>
      <c r="B46" s="1" t="s">
        <v>225</v>
      </c>
      <c r="C46" s="1" t="s">
        <v>226</v>
      </c>
      <c r="D46" s="1" t="str">
        <f t="shared" si="2"/>
        <v>Documents\GitHub\Ozon_upload\barcode\бирки имена\девочки\Термобирки Алиса.pdf</v>
      </c>
      <c r="E46" s="10" t="str">
        <f t="shared" si="3"/>
        <v>C:\Users\maxim\Documents\GitHub\Ozon_upload\DTF_images\names\девочки\Алиса_img.tif</v>
      </c>
      <c r="F46" s="1">
        <v>1</v>
      </c>
      <c r="G46" s="1">
        <v>2</v>
      </c>
      <c r="I46" s="11" t="s">
        <v>227</v>
      </c>
      <c r="K46" s="1" t="s">
        <v>48</v>
      </c>
      <c r="AB46" s="9" t="s">
        <v>50</v>
      </c>
      <c r="AM46" s="1">
        <v>16</v>
      </c>
      <c r="AN46" s="1">
        <v>180</v>
      </c>
      <c r="AO46" s="1">
        <v>1</v>
      </c>
      <c r="AP46" s="1">
        <v>250</v>
      </c>
      <c r="AQ46" s="2" t="s">
        <v>51</v>
      </c>
    </row>
    <row r="47" spans="1:43" x14ac:dyDescent="0.2">
      <c r="A47" s="9" t="s">
        <v>228</v>
      </c>
      <c r="B47" s="1" t="s">
        <v>229</v>
      </c>
      <c r="C47" s="1" t="s">
        <v>230</v>
      </c>
      <c r="D47" s="1" t="str">
        <f t="shared" si="2"/>
        <v>Documents\GitHub\Ozon_upload\barcode\бирки имена\девочки\Термобирки Есения.pdf</v>
      </c>
      <c r="E47" s="10" t="str">
        <f t="shared" si="3"/>
        <v>C:\Users\maxim\Documents\GitHub\Ozon_upload\DTF_images\names\девочки\Есения_img.tif</v>
      </c>
      <c r="F47" s="1">
        <v>1</v>
      </c>
      <c r="G47" s="1">
        <v>2</v>
      </c>
      <c r="I47" s="11" t="s">
        <v>231</v>
      </c>
      <c r="K47" s="1" t="s">
        <v>48</v>
      </c>
      <c r="AB47" s="9" t="s">
        <v>50</v>
      </c>
      <c r="AM47" s="1">
        <v>16</v>
      </c>
      <c r="AN47" s="1">
        <v>180</v>
      </c>
      <c r="AO47" s="1">
        <v>1</v>
      </c>
      <c r="AP47" s="1">
        <v>250</v>
      </c>
      <c r="AQ47" s="2" t="s">
        <v>51</v>
      </c>
    </row>
    <row r="48" spans="1:43" x14ac:dyDescent="0.2">
      <c r="A48" s="9" t="s">
        <v>232</v>
      </c>
      <c r="B48" s="1" t="s">
        <v>233</v>
      </c>
      <c r="C48" s="1" t="s">
        <v>234</v>
      </c>
      <c r="D48" s="1" t="str">
        <f t="shared" si="2"/>
        <v>Documents\GitHub\Ozon_upload\barcode\бирки имена\девочки\Термобирки Екатерина.pdf</v>
      </c>
      <c r="E48" s="10" t="str">
        <f t="shared" si="3"/>
        <v>C:\Users\maxim\Documents\GitHub\Ozon_upload\DTF_images\names\девочки\Екатерина_img.tif</v>
      </c>
      <c r="F48" s="1">
        <v>1</v>
      </c>
      <c r="G48" s="1">
        <v>2</v>
      </c>
      <c r="I48" s="11" t="s">
        <v>235</v>
      </c>
      <c r="K48" s="1" t="s">
        <v>48</v>
      </c>
      <c r="AB48" s="9" t="s">
        <v>50</v>
      </c>
      <c r="AM48" s="1">
        <v>16</v>
      </c>
      <c r="AN48" s="1">
        <v>180</v>
      </c>
      <c r="AO48" s="1">
        <v>1</v>
      </c>
      <c r="AP48" s="1">
        <v>250</v>
      </c>
      <c r="AQ48" s="2" t="s">
        <v>51</v>
      </c>
    </row>
    <row r="49" spans="1:43" x14ac:dyDescent="0.2">
      <c r="A49" s="9" t="s">
        <v>236</v>
      </c>
      <c r="B49" s="1" t="s">
        <v>237</v>
      </c>
      <c r="C49" s="1" t="s">
        <v>238</v>
      </c>
      <c r="D49" s="1" t="str">
        <f t="shared" si="2"/>
        <v>Documents\GitHub\Ozon_upload\barcode\бирки имена\девочки\Термобирки Светлана.pdf</v>
      </c>
      <c r="E49" s="10" t="str">
        <f t="shared" si="3"/>
        <v>C:\Users\maxim\Documents\GitHub\Ozon_upload\DTF_images\names\девочки\Светлана_img.tif</v>
      </c>
      <c r="F49" s="1">
        <v>1</v>
      </c>
      <c r="G49" s="1">
        <v>2</v>
      </c>
      <c r="I49" s="11" t="s">
        <v>239</v>
      </c>
      <c r="K49" s="1" t="s">
        <v>48</v>
      </c>
      <c r="AB49" s="9" t="s">
        <v>50</v>
      </c>
      <c r="AM49" s="1">
        <v>16</v>
      </c>
      <c r="AN49" s="1">
        <v>180</v>
      </c>
      <c r="AO49" s="1">
        <v>1</v>
      </c>
      <c r="AP49" s="1">
        <v>250</v>
      </c>
      <c r="AQ49" s="2" t="s">
        <v>51</v>
      </c>
    </row>
    <row r="50" spans="1:43" x14ac:dyDescent="0.2">
      <c r="A50" s="9" t="s">
        <v>240</v>
      </c>
      <c r="B50" s="1" t="s">
        <v>241</v>
      </c>
      <c r="C50" s="1" t="s">
        <v>242</v>
      </c>
      <c r="D50" s="1" t="str">
        <f t="shared" si="2"/>
        <v>Documents\GitHub\Ozon_upload\barcode\бирки имена\девочки\Термобирки Полина.pdf</v>
      </c>
      <c r="E50" s="10" t="str">
        <f t="shared" si="3"/>
        <v>C:\Users\maxim\Documents\GitHub\Ozon_upload\DTF_images\names\девочки\Полина_img.tif</v>
      </c>
      <c r="F50" s="1">
        <v>1</v>
      </c>
      <c r="G50" s="1">
        <v>2</v>
      </c>
      <c r="I50" s="11" t="s">
        <v>243</v>
      </c>
      <c r="K50" s="1" t="s">
        <v>48</v>
      </c>
      <c r="AB50" s="9" t="s">
        <v>50</v>
      </c>
      <c r="AM50" s="1">
        <v>16</v>
      </c>
      <c r="AN50" s="1">
        <v>180</v>
      </c>
      <c r="AO50" s="1">
        <v>1</v>
      </c>
      <c r="AP50" s="1">
        <v>250</v>
      </c>
      <c r="AQ50" s="2" t="s">
        <v>51</v>
      </c>
    </row>
    <row r="51" spans="1:43" x14ac:dyDescent="0.2">
      <c r="A51" s="9" t="s">
        <v>244</v>
      </c>
      <c r="B51" s="1" t="s">
        <v>245</v>
      </c>
      <c r="C51" s="1" t="s">
        <v>246</v>
      </c>
      <c r="D51" s="1" t="str">
        <f t="shared" si="2"/>
        <v>Documents\GitHub\Ozon_upload\barcode\бирки имена\девочки\Термобирки Оливия.pdf</v>
      </c>
      <c r="E51" s="10" t="str">
        <f t="shared" si="3"/>
        <v>C:\Users\maxim\Documents\GitHub\Ozon_upload\DTF_images\names\девочки\Оливия_img.tif</v>
      </c>
      <c r="F51" s="1">
        <v>1</v>
      </c>
      <c r="G51" s="1">
        <v>2</v>
      </c>
      <c r="I51" s="11" t="s">
        <v>247</v>
      </c>
      <c r="K51" s="1" t="s">
        <v>48</v>
      </c>
      <c r="AB51" s="9" t="s">
        <v>50</v>
      </c>
      <c r="AM51" s="1">
        <v>16</v>
      </c>
      <c r="AN51" s="1">
        <v>180</v>
      </c>
      <c r="AO51" s="1">
        <v>1</v>
      </c>
      <c r="AP51" s="1">
        <v>250</v>
      </c>
      <c r="AQ51" s="2" t="s">
        <v>51</v>
      </c>
    </row>
    <row r="52" spans="1:43" x14ac:dyDescent="0.2">
      <c r="A52" s="9" t="s">
        <v>248</v>
      </c>
      <c r="B52" s="1" t="s">
        <v>249</v>
      </c>
      <c r="C52" s="1" t="s">
        <v>250</v>
      </c>
      <c r="D52" s="1" t="str">
        <f t="shared" si="2"/>
        <v>Documents\GitHub\Ozon_upload\barcode\бирки имена\девочки\Термобирки Агата.pdf</v>
      </c>
      <c r="E52" s="10" t="str">
        <f t="shared" si="3"/>
        <v>C:\Users\maxim\Documents\GitHub\Ozon_upload\DTF_images\names\девочки\Агата_img.tif</v>
      </c>
      <c r="F52" s="1">
        <v>1</v>
      </c>
      <c r="G52" s="1">
        <v>2</v>
      </c>
      <c r="I52" s="11" t="s">
        <v>251</v>
      </c>
      <c r="K52" s="1" t="s">
        <v>48</v>
      </c>
      <c r="AB52" s="9" t="s">
        <v>50</v>
      </c>
      <c r="AM52" s="1">
        <v>16</v>
      </c>
      <c r="AN52" s="1">
        <v>180</v>
      </c>
      <c r="AO52" s="1">
        <v>1</v>
      </c>
      <c r="AP52" s="1">
        <v>250</v>
      </c>
      <c r="AQ52" s="2" t="s">
        <v>51</v>
      </c>
    </row>
    <row r="53" spans="1:43" x14ac:dyDescent="0.2">
      <c r="A53" s="9" t="s">
        <v>252</v>
      </c>
      <c r="B53" s="1" t="s">
        <v>253</v>
      </c>
      <c r="C53" s="1" t="s">
        <v>254</v>
      </c>
      <c r="D53" s="1" t="str">
        <f t="shared" si="2"/>
        <v>Documents\GitHub\Ozon_upload\barcode\бирки имена\девочки\Термобирки Милана.pdf</v>
      </c>
      <c r="E53" s="10" t="str">
        <f t="shared" si="3"/>
        <v>C:\Users\maxim\Documents\GitHub\Ozon_upload\DTF_images\names\девочки\Милана_img.tif</v>
      </c>
      <c r="F53" s="1">
        <v>1</v>
      </c>
      <c r="G53" s="1">
        <v>2</v>
      </c>
      <c r="I53" s="11" t="s">
        <v>255</v>
      </c>
      <c r="K53" s="1" t="s">
        <v>48</v>
      </c>
      <c r="AB53" s="9" t="s">
        <v>50</v>
      </c>
      <c r="AM53" s="1">
        <v>16</v>
      </c>
      <c r="AN53" s="1">
        <v>180</v>
      </c>
      <c r="AO53" s="1">
        <v>1</v>
      </c>
      <c r="AP53" s="1">
        <v>250</v>
      </c>
      <c r="AQ53" s="2" t="s">
        <v>51</v>
      </c>
    </row>
    <row r="54" spans="1:43" x14ac:dyDescent="0.2">
      <c r="A54" s="9" t="s">
        <v>256</v>
      </c>
      <c r="B54" s="1" t="s">
        <v>257</v>
      </c>
      <c r="C54" s="1" t="s">
        <v>258</v>
      </c>
      <c r="D54" s="1" t="str">
        <f t="shared" si="2"/>
        <v>Documents\GitHub\Ozon_upload\barcode\бирки имена\девочки\Термобирки Амалия.pdf</v>
      </c>
      <c r="E54" s="10" t="str">
        <f t="shared" si="3"/>
        <v>C:\Users\maxim\Documents\GitHub\Ozon_upload\DTF_images\names\девочки\Амалия_img.tif</v>
      </c>
      <c r="F54" s="1">
        <v>1</v>
      </c>
      <c r="G54" s="1">
        <v>2</v>
      </c>
      <c r="I54" s="11" t="s">
        <v>259</v>
      </c>
      <c r="K54" s="1" t="s">
        <v>48</v>
      </c>
      <c r="AB54" s="9" t="s">
        <v>50</v>
      </c>
      <c r="AM54" s="1">
        <v>16</v>
      </c>
      <c r="AN54" s="1">
        <v>180</v>
      </c>
      <c r="AO54" s="1">
        <v>1</v>
      </c>
      <c r="AP54" s="1">
        <v>250</v>
      </c>
      <c r="AQ54" s="2" t="s">
        <v>51</v>
      </c>
    </row>
    <row r="55" spans="1:43" x14ac:dyDescent="0.2">
      <c r="A55" s="9" t="s">
        <v>260</v>
      </c>
      <c r="B55" s="1" t="s">
        <v>261</v>
      </c>
      <c r="C55" s="1" t="s">
        <v>262</v>
      </c>
      <c r="D55" s="1" t="str">
        <f t="shared" si="2"/>
        <v>Documents\GitHub\Ozon_upload\barcode\бирки имена\девочки\Термобирки Виктория.pdf</v>
      </c>
      <c r="E55" s="10" t="str">
        <f t="shared" si="3"/>
        <v>C:\Users\maxim\Documents\GitHub\Ozon_upload\DTF_images\names\девочки\Виктория_img.tif</v>
      </c>
      <c r="F55" s="1">
        <v>1</v>
      </c>
      <c r="G55" s="1">
        <v>2</v>
      </c>
      <c r="I55" s="11" t="s">
        <v>263</v>
      </c>
      <c r="K55" s="1" t="s">
        <v>48</v>
      </c>
      <c r="AB55" s="9" t="s">
        <v>50</v>
      </c>
      <c r="AM55" s="1">
        <v>16</v>
      </c>
      <c r="AN55" s="1">
        <v>180</v>
      </c>
      <c r="AO55" s="1">
        <v>1</v>
      </c>
      <c r="AP55" s="1">
        <v>250</v>
      </c>
      <c r="AQ55" s="2" t="s">
        <v>51</v>
      </c>
    </row>
    <row r="56" spans="1:43" x14ac:dyDescent="0.2">
      <c r="A56" s="9" t="s">
        <v>264</v>
      </c>
      <c r="B56" s="1" t="s">
        <v>265</v>
      </c>
      <c r="C56" s="1" t="s">
        <v>266</v>
      </c>
      <c r="D56" s="1" t="str">
        <f t="shared" si="2"/>
        <v>Documents\GitHub\Ozon_upload\barcode\бирки имена\девочки\Термобирки Ясмина.pdf</v>
      </c>
      <c r="E56" s="10" t="str">
        <f t="shared" si="3"/>
        <v>C:\Users\maxim\Documents\GitHub\Ozon_upload\DTF_images\names\девочки\Ясмина_img.tif</v>
      </c>
      <c r="F56" s="1">
        <v>1</v>
      </c>
      <c r="G56" s="1">
        <v>2</v>
      </c>
      <c r="I56" s="11" t="s">
        <v>267</v>
      </c>
      <c r="K56" s="1" t="s">
        <v>48</v>
      </c>
      <c r="AB56" s="9" t="s">
        <v>50</v>
      </c>
      <c r="AM56" s="1">
        <v>16</v>
      </c>
      <c r="AN56" s="1">
        <v>180</v>
      </c>
      <c r="AO56" s="1">
        <v>1</v>
      </c>
      <c r="AP56" s="1">
        <v>250</v>
      </c>
      <c r="AQ56" s="2" t="s">
        <v>51</v>
      </c>
    </row>
    <row r="57" spans="1:43" x14ac:dyDescent="0.2">
      <c r="A57" s="9" t="s">
        <v>268</v>
      </c>
      <c r="B57" s="1" t="s">
        <v>269</v>
      </c>
      <c r="C57" s="1" t="s">
        <v>270</v>
      </c>
      <c r="D57" s="1" t="str">
        <f t="shared" si="2"/>
        <v>Documents\GitHub\Ozon_upload\barcode\бирки имена\девочки\Термобирки Дарья.pdf</v>
      </c>
      <c r="E57" s="10" t="str">
        <f t="shared" si="3"/>
        <v>C:\Users\maxim\Documents\GitHub\Ozon_upload\DTF_images\names\девочки\Дарья_img.tif</v>
      </c>
      <c r="F57" s="1">
        <v>1</v>
      </c>
      <c r="G57" s="1">
        <v>2</v>
      </c>
      <c r="I57" s="11" t="s">
        <v>271</v>
      </c>
      <c r="K57" s="1" t="s">
        <v>48</v>
      </c>
      <c r="AB57" s="9" t="s">
        <v>50</v>
      </c>
      <c r="AM57" s="1">
        <v>16</v>
      </c>
      <c r="AN57" s="1">
        <v>180</v>
      </c>
      <c r="AO57" s="1">
        <v>1</v>
      </c>
      <c r="AP57" s="1">
        <v>250</v>
      </c>
      <c r="AQ57" s="2" t="s">
        <v>51</v>
      </c>
    </row>
    <row r="58" spans="1:43" x14ac:dyDescent="0.2">
      <c r="A58" s="9" t="s">
        <v>272</v>
      </c>
      <c r="B58" s="1" t="s">
        <v>273</v>
      </c>
      <c r="C58" s="1" t="s">
        <v>274</v>
      </c>
      <c r="D58" s="1" t="str">
        <f t="shared" si="2"/>
        <v>Documents\GitHub\Ozon_upload\barcode\бирки имена\девочки\Термобирки Александра.pdf</v>
      </c>
      <c r="E58" s="10" t="str">
        <f t="shared" si="3"/>
        <v>C:\Users\maxim\Documents\GitHub\Ozon_upload\DTF_images\names\девочки\Александра_img.tif</v>
      </c>
      <c r="F58" s="1">
        <v>1</v>
      </c>
      <c r="G58" s="1">
        <v>2</v>
      </c>
      <c r="I58" s="11" t="s">
        <v>275</v>
      </c>
      <c r="K58" s="1" t="s">
        <v>48</v>
      </c>
      <c r="AB58" s="9" t="s">
        <v>50</v>
      </c>
      <c r="AM58" s="1">
        <v>16</v>
      </c>
      <c r="AN58" s="1">
        <v>180</v>
      </c>
      <c r="AO58" s="1">
        <v>1</v>
      </c>
      <c r="AP58" s="1">
        <v>250</v>
      </c>
      <c r="AQ58" s="2" t="s">
        <v>51</v>
      </c>
    </row>
    <row r="59" spans="1:43" x14ac:dyDescent="0.2">
      <c r="A59" s="9" t="s">
        <v>276</v>
      </c>
      <c r="B59" s="1" t="s">
        <v>277</v>
      </c>
      <c r="C59" s="1" t="s">
        <v>278</v>
      </c>
      <c r="D59" s="1" t="str">
        <f t="shared" si="2"/>
        <v>Documents\GitHub\Ozon_upload\barcode\бирки имена\девочки\Термобирки Любовь.pdf</v>
      </c>
      <c r="E59" s="10" t="str">
        <f t="shared" si="3"/>
        <v>C:\Users\maxim\Documents\GitHub\Ozon_upload\DTF_images\names\девочки\Любовь_img.tif</v>
      </c>
      <c r="F59" s="1">
        <v>1</v>
      </c>
      <c r="G59" s="1">
        <v>2</v>
      </c>
      <c r="I59" s="11" t="s">
        <v>279</v>
      </c>
      <c r="K59" s="1" t="s">
        <v>48</v>
      </c>
      <c r="AB59" s="9" t="s">
        <v>50</v>
      </c>
      <c r="AM59" s="1">
        <v>16</v>
      </c>
      <c r="AN59" s="1">
        <v>180</v>
      </c>
      <c r="AO59" s="1">
        <v>1</v>
      </c>
      <c r="AP59" s="1">
        <v>250</v>
      </c>
      <c r="AQ59" s="2" t="s">
        <v>51</v>
      </c>
    </row>
    <row r="60" spans="1:43" x14ac:dyDescent="0.2">
      <c r="A60" s="9" t="s">
        <v>280</v>
      </c>
      <c r="B60" s="1" t="s">
        <v>281</v>
      </c>
      <c r="C60" s="1" t="s">
        <v>282</v>
      </c>
      <c r="D60" s="1" t="str">
        <f t="shared" si="2"/>
        <v>Documents\GitHub\Ozon_upload\barcode\бирки имена\девочки\Термобирки Ольга.pdf</v>
      </c>
      <c r="E60" s="10" t="str">
        <f t="shared" si="3"/>
        <v>C:\Users\maxim\Documents\GitHub\Ozon_upload\DTF_images\names\девочки\Ольга_img.tif</v>
      </c>
      <c r="F60" s="1">
        <v>1</v>
      </c>
      <c r="G60" s="1">
        <v>2</v>
      </c>
      <c r="I60" s="11" t="s">
        <v>283</v>
      </c>
      <c r="K60" s="1" t="s">
        <v>48</v>
      </c>
      <c r="AB60" s="9" t="s">
        <v>50</v>
      </c>
      <c r="AM60" s="1">
        <v>16</v>
      </c>
      <c r="AN60" s="1">
        <v>180</v>
      </c>
      <c r="AO60" s="1">
        <v>1</v>
      </c>
      <c r="AP60" s="1">
        <v>250</v>
      </c>
      <c r="AQ60" s="2" t="s">
        <v>51</v>
      </c>
    </row>
    <row r="61" spans="1:43" x14ac:dyDescent="0.2">
      <c r="A61" s="9" t="s">
        <v>284</v>
      </c>
      <c r="B61" s="1" t="s">
        <v>285</v>
      </c>
      <c r="C61" s="1" t="s">
        <v>286</v>
      </c>
      <c r="D61" s="1" t="str">
        <f t="shared" si="2"/>
        <v>Documents\GitHub\Ozon_upload\barcode\бирки имена\девочки\Термобирки Татьяна.pdf</v>
      </c>
      <c r="E61" s="10" t="str">
        <f t="shared" si="3"/>
        <v>C:\Users\maxim\Documents\GitHub\Ozon_upload\DTF_images\names\девочки\Татьяна_img.tif</v>
      </c>
      <c r="F61" s="1">
        <v>1</v>
      </c>
      <c r="G61" s="1">
        <v>2</v>
      </c>
      <c r="I61" s="11" t="s">
        <v>287</v>
      </c>
      <c r="K61" s="1" t="s">
        <v>48</v>
      </c>
      <c r="AB61" s="9" t="s">
        <v>50</v>
      </c>
      <c r="AM61" s="1">
        <v>16</v>
      </c>
      <c r="AN61" s="1">
        <v>180</v>
      </c>
      <c r="AO61" s="1">
        <v>1</v>
      </c>
      <c r="AP61" s="1">
        <v>250</v>
      </c>
      <c r="AQ61" s="2" t="s">
        <v>51</v>
      </c>
    </row>
    <row r="62" spans="1:43" x14ac:dyDescent="0.2">
      <c r="A62" s="9" t="s">
        <v>288</v>
      </c>
      <c r="B62" s="1" t="s">
        <v>289</v>
      </c>
      <c r="C62" s="1" t="s">
        <v>290</v>
      </c>
      <c r="D62" s="1" t="str">
        <f t="shared" si="2"/>
        <v>Documents\GitHub\Ozon_upload\barcode\бирки имена\девочки\Термобирки Аврора.pdf</v>
      </c>
      <c r="E62" s="10" t="str">
        <f t="shared" si="3"/>
        <v>C:\Users\maxim\Documents\GitHub\Ozon_upload\DTF_images\names\девочки\Аврора_img.tif</v>
      </c>
      <c r="F62" s="1">
        <v>1</v>
      </c>
      <c r="G62" s="1">
        <v>2</v>
      </c>
      <c r="I62" s="11" t="s">
        <v>291</v>
      </c>
      <c r="K62" s="1" t="s">
        <v>48</v>
      </c>
      <c r="AB62" s="9" t="s">
        <v>50</v>
      </c>
      <c r="AM62" s="1">
        <v>16</v>
      </c>
      <c r="AN62" s="1">
        <v>180</v>
      </c>
      <c r="AO62" s="1">
        <v>1</v>
      </c>
      <c r="AP62" s="1">
        <v>250</v>
      </c>
      <c r="AQ62" s="2" t="s">
        <v>51</v>
      </c>
    </row>
    <row r="63" spans="1:43" x14ac:dyDescent="0.2">
      <c r="A63" s="9" t="s">
        <v>292</v>
      </c>
      <c r="B63" s="1" t="s">
        <v>293</v>
      </c>
      <c r="C63" s="1" t="s">
        <v>294</v>
      </c>
      <c r="D63" s="1" t="str">
        <f t="shared" si="2"/>
        <v>Documents\GitHub\Ozon_upload\barcode\бирки имена\девочки\Термобирки Ксения.pdf</v>
      </c>
      <c r="E63" s="10" t="str">
        <f t="shared" si="3"/>
        <v>C:\Users\maxim\Documents\GitHub\Ozon_upload\DTF_images\names\девочки\Ксения_img.tif</v>
      </c>
      <c r="F63" s="1">
        <v>1</v>
      </c>
      <c r="G63" s="1">
        <v>2</v>
      </c>
      <c r="I63" s="11" t="s">
        <v>295</v>
      </c>
      <c r="K63" s="1" t="s">
        <v>48</v>
      </c>
      <c r="AB63" s="9" t="s">
        <v>50</v>
      </c>
      <c r="AM63" s="1">
        <v>16</v>
      </c>
      <c r="AN63" s="1">
        <v>180</v>
      </c>
      <c r="AO63" s="1">
        <v>1</v>
      </c>
      <c r="AP63" s="1">
        <v>250</v>
      </c>
      <c r="AQ63" s="2" t="s">
        <v>51</v>
      </c>
    </row>
    <row r="64" spans="1:43" x14ac:dyDescent="0.2">
      <c r="A64" s="9" t="s">
        <v>296</v>
      </c>
      <c r="B64" s="1" t="s">
        <v>297</v>
      </c>
      <c r="C64" s="1" t="s">
        <v>298</v>
      </c>
      <c r="D64" s="1" t="str">
        <f t="shared" si="2"/>
        <v>Documents\GitHub\Ozon_upload\barcode\бирки имена\девочки\Термобирки Варвара.pdf</v>
      </c>
      <c r="E64" s="10" t="str">
        <f t="shared" si="3"/>
        <v>C:\Users\maxim\Documents\GitHub\Ozon_upload\DTF_images\names\девочки\Варвара_img.tif</v>
      </c>
      <c r="F64" s="1">
        <v>1</v>
      </c>
      <c r="G64" s="1">
        <v>2</v>
      </c>
      <c r="I64" s="11" t="s">
        <v>299</v>
      </c>
      <c r="K64" s="1" t="s">
        <v>48</v>
      </c>
      <c r="AB64" s="9" t="s">
        <v>50</v>
      </c>
      <c r="AM64" s="1">
        <v>16</v>
      </c>
      <c r="AN64" s="1">
        <v>180</v>
      </c>
      <c r="AO64" s="1">
        <v>1</v>
      </c>
      <c r="AP64" s="1">
        <v>250</v>
      </c>
      <c r="AQ64" s="2" t="s">
        <v>51</v>
      </c>
    </row>
    <row r="65" spans="1:43" x14ac:dyDescent="0.2">
      <c r="A65" s="9" t="s">
        <v>300</v>
      </c>
      <c r="B65" s="1" t="s">
        <v>301</v>
      </c>
      <c r="C65" s="1" t="s">
        <v>302</v>
      </c>
      <c r="D65" s="1" t="str">
        <f t="shared" si="2"/>
        <v>Documents\GitHub\Ozon_upload\barcode\бирки имена\девочки\Термобирки Наталья.pdf</v>
      </c>
      <c r="E65" s="10" t="str">
        <f t="shared" si="3"/>
        <v>C:\Users\maxim\Documents\GitHub\Ozon_upload\DTF_images\names\девочки\Наталья_img.tif</v>
      </c>
      <c r="F65" s="1">
        <v>1</v>
      </c>
      <c r="G65" s="1">
        <v>2</v>
      </c>
      <c r="I65" s="11" t="s">
        <v>303</v>
      </c>
      <c r="K65" s="1" t="s">
        <v>48</v>
      </c>
      <c r="AB65" s="9" t="s">
        <v>50</v>
      </c>
      <c r="AM65" s="1">
        <v>16</v>
      </c>
      <c r="AN65" s="1">
        <v>180</v>
      </c>
      <c r="AO65" s="1">
        <v>1</v>
      </c>
      <c r="AP65" s="1">
        <v>250</v>
      </c>
      <c r="AQ65" s="2" t="s">
        <v>51</v>
      </c>
    </row>
    <row r="66" spans="1:43" x14ac:dyDescent="0.2">
      <c r="A66" s="9" t="s">
        <v>304</v>
      </c>
      <c r="B66" s="1" t="s">
        <v>305</v>
      </c>
      <c r="C66" s="1" t="s">
        <v>306</v>
      </c>
      <c r="D66" s="1" t="str">
        <f t="shared" si="2"/>
        <v>Documents\GitHub\Ozon_upload\barcode\бирки имена\девочки\Термобирки Анастасия.pdf</v>
      </c>
      <c r="E66" s="10" t="str">
        <f t="shared" si="3"/>
        <v>C:\Users\maxim\Documents\GitHub\Ozon_upload\DTF_images\names\девочки\Анастасия_img.tif</v>
      </c>
      <c r="F66" s="1">
        <v>1</v>
      </c>
      <c r="G66" s="1">
        <v>2</v>
      </c>
      <c r="I66" s="11" t="s">
        <v>307</v>
      </c>
      <c r="K66" s="1" t="s">
        <v>48</v>
      </c>
      <c r="AB66" s="9" t="s">
        <v>50</v>
      </c>
      <c r="AM66" s="1">
        <v>16</v>
      </c>
      <c r="AN66" s="1">
        <v>180</v>
      </c>
      <c r="AO66" s="1">
        <v>1</v>
      </c>
      <c r="AP66" s="1">
        <v>250</v>
      </c>
      <c r="AQ66" s="2" t="s">
        <v>51</v>
      </c>
    </row>
    <row r="67" spans="1:43" x14ac:dyDescent="0.2">
      <c r="A67" s="9" t="s">
        <v>308</v>
      </c>
      <c r="B67" s="1" t="s">
        <v>309</v>
      </c>
      <c r="C67" s="1" t="s">
        <v>310</v>
      </c>
      <c r="D67" s="1" t="str">
        <f t="shared" si="2"/>
        <v>Documents\GitHub\Ozon_upload\barcode\бирки имена\девочки\Термобирки Марина.pdf</v>
      </c>
      <c r="E67" s="10" t="str">
        <f t="shared" si="3"/>
        <v>C:\Users\maxim\Documents\GitHub\Ozon_upload\DTF_images\names\девочки\Марина_img.tif</v>
      </c>
      <c r="F67" s="1">
        <v>1</v>
      </c>
      <c r="G67" s="1">
        <v>2</v>
      </c>
      <c r="I67" s="11" t="s">
        <v>311</v>
      </c>
      <c r="K67" s="1" t="s">
        <v>48</v>
      </c>
      <c r="AB67" s="9" t="s">
        <v>50</v>
      </c>
      <c r="AM67" s="1">
        <v>16</v>
      </c>
      <c r="AN67" s="1">
        <v>180</v>
      </c>
      <c r="AO67" s="1">
        <v>1</v>
      </c>
      <c r="AP67" s="1">
        <v>250</v>
      </c>
      <c r="AQ67" s="2" t="s">
        <v>51</v>
      </c>
    </row>
    <row r="68" spans="1:43" x14ac:dyDescent="0.2">
      <c r="A68" s="9" t="s">
        <v>312</v>
      </c>
      <c r="B68" s="1" t="s">
        <v>313</v>
      </c>
      <c r="C68" s="1" t="s">
        <v>314</v>
      </c>
      <c r="D68" s="1" t="str">
        <f t="shared" si="2"/>
        <v>Documents\GitHub\Ozon_upload\barcode\бирки имена\девочки\Термобирки Елена.pdf</v>
      </c>
      <c r="E68" s="10" t="str">
        <f t="shared" si="3"/>
        <v>C:\Users\maxim\Documents\GitHub\Ozon_upload\DTF_images\names\девочки\Елена_img.tif</v>
      </c>
      <c r="F68" s="1">
        <v>1</v>
      </c>
      <c r="G68" s="1">
        <v>2</v>
      </c>
      <c r="I68" s="11" t="s">
        <v>315</v>
      </c>
      <c r="K68" s="1" t="s">
        <v>48</v>
      </c>
      <c r="AB68" s="9" t="s">
        <v>50</v>
      </c>
      <c r="AM68" s="1">
        <v>16</v>
      </c>
      <c r="AN68" s="1">
        <v>180</v>
      </c>
      <c r="AO68" s="1">
        <v>1</v>
      </c>
      <c r="AP68" s="1">
        <v>250</v>
      </c>
      <c r="AQ68" s="2" t="s">
        <v>51</v>
      </c>
    </row>
    <row r="69" spans="1:43" x14ac:dyDescent="0.2">
      <c r="A69" s="9" t="s">
        <v>316</v>
      </c>
      <c r="B69" s="1" t="s">
        <v>317</v>
      </c>
      <c r="C69" s="1" t="s">
        <v>318</v>
      </c>
      <c r="D69" s="1" t="str">
        <f t="shared" si="2"/>
        <v>Documents\GitHub\Ozon_upload\barcode\бирки имена\девочки\Термобирки Надежда.pdf</v>
      </c>
      <c r="E69" s="10" t="str">
        <f t="shared" si="3"/>
        <v>C:\Users\maxim\Documents\GitHub\Ozon_upload\DTF_images\names\девочки\Надежда_img.tif</v>
      </c>
      <c r="F69" s="1">
        <v>1</v>
      </c>
      <c r="G69" s="1">
        <v>2</v>
      </c>
      <c r="I69" s="11" t="s">
        <v>319</v>
      </c>
      <c r="K69" s="1" t="s">
        <v>48</v>
      </c>
      <c r="AB69" s="9" t="s">
        <v>50</v>
      </c>
      <c r="AM69" s="1">
        <v>16</v>
      </c>
      <c r="AN69" s="1">
        <v>180</v>
      </c>
      <c r="AO69" s="1">
        <v>1</v>
      </c>
      <c r="AP69" s="1">
        <v>250</v>
      </c>
      <c r="AQ69" s="2" t="s">
        <v>51</v>
      </c>
    </row>
    <row r="70" spans="1:43" x14ac:dyDescent="0.2">
      <c r="A70" s="9" t="s">
        <v>320</v>
      </c>
      <c r="B70" s="1" t="s">
        <v>321</v>
      </c>
      <c r="C70" s="1" t="s">
        <v>322</v>
      </c>
      <c r="D70" s="1" t="str">
        <f t="shared" si="2"/>
        <v>Documents\GitHub\Ozon_upload\barcode\бирки имена\девочки\Термобирки Эмилия.pdf</v>
      </c>
      <c r="E70" s="10" t="str">
        <f t="shared" si="3"/>
        <v>C:\Users\maxim\Documents\GitHub\Ozon_upload\DTF_images\names\девочки\Эмилия_img.tif</v>
      </c>
      <c r="F70" s="1">
        <v>1</v>
      </c>
      <c r="G70" s="1">
        <v>2</v>
      </c>
      <c r="I70" s="11" t="s">
        <v>323</v>
      </c>
      <c r="K70" s="1" t="s">
        <v>48</v>
      </c>
      <c r="AB70" s="9" t="s">
        <v>50</v>
      </c>
      <c r="AM70" s="1">
        <v>16</v>
      </c>
      <c r="AN70" s="1">
        <v>180</v>
      </c>
      <c r="AO70" s="1">
        <v>1</v>
      </c>
      <c r="AP70" s="1">
        <v>250</v>
      </c>
      <c r="AQ70" s="2" t="s">
        <v>51</v>
      </c>
    </row>
    <row r="71" spans="1:43" x14ac:dyDescent="0.2">
      <c r="A71" s="9" t="s">
        <v>324</v>
      </c>
      <c r="B71" s="1" t="s">
        <v>325</v>
      </c>
      <c r="C71" s="1" t="s">
        <v>326</v>
      </c>
      <c r="D71" s="1" t="str">
        <f t="shared" si="2"/>
        <v>Documents\GitHub\Ozon_upload\barcode\бирки имена\девочки\Термобирки Арина.pdf</v>
      </c>
      <c r="E71" s="10" t="str">
        <f t="shared" si="3"/>
        <v>C:\Users\maxim\Documents\GitHub\Ozon_upload\DTF_images\names\девочки\Арина_img.tif</v>
      </c>
      <c r="F71" s="1">
        <v>1</v>
      </c>
      <c r="G71" s="1">
        <v>2</v>
      </c>
      <c r="I71" s="11" t="s">
        <v>327</v>
      </c>
      <c r="K71" s="1" t="s">
        <v>48</v>
      </c>
      <c r="AB71" s="9" t="s">
        <v>50</v>
      </c>
      <c r="AM71" s="1">
        <v>16</v>
      </c>
      <c r="AN71" s="1">
        <v>180</v>
      </c>
      <c r="AO71" s="1">
        <v>1</v>
      </c>
      <c r="AP71" s="1">
        <v>250</v>
      </c>
      <c r="AQ71" s="2" t="s">
        <v>51</v>
      </c>
    </row>
    <row r="72" spans="1:43" x14ac:dyDescent="0.2">
      <c r="A72" s="9" t="s">
        <v>328</v>
      </c>
      <c r="B72" s="1" t="s">
        <v>329</v>
      </c>
      <c r="C72" s="1" t="s">
        <v>330</v>
      </c>
      <c r="D72" s="1" t="str">
        <f t="shared" si="2"/>
        <v>Documents\GitHub\Ozon_upload\barcode\бирки имена\девочки\Термобирки Мирослава.pdf</v>
      </c>
      <c r="E72" s="10" t="str">
        <f t="shared" si="3"/>
        <v>C:\Users\maxim\Documents\GitHub\Ozon_upload\DTF_images\names\девочки\Мирослава_img.tif</v>
      </c>
      <c r="F72" s="1">
        <v>1</v>
      </c>
      <c r="G72" s="1">
        <v>2</v>
      </c>
      <c r="I72" s="11" t="s">
        <v>331</v>
      </c>
      <c r="K72" s="1" t="s">
        <v>48</v>
      </c>
      <c r="AB72" s="9" t="s">
        <v>50</v>
      </c>
      <c r="AM72" s="1">
        <v>16</v>
      </c>
      <c r="AN72" s="1">
        <v>180</v>
      </c>
      <c r="AO72" s="1">
        <v>1</v>
      </c>
      <c r="AP72" s="1">
        <v>250</v>
      </c>
      <c r="AQ72" s="2" t="s">
        <v>51</v>
      </c>
    </row>
    <row r="73" spans="1:43" x14ac:dyDescent="0.2">
      <c r="A73" s="9" t="s">
        <v>332</v>
      </c>
      <c r="B73" s="1" t="s">
        <v>333</v>
      </c>
      <c r="C73" s="1" t="s">
        <v>334</v>
      </c>
      <c r="D73" s="1" t="str">
        <f t="shared" si="2"/>
        <v>Documents\GitHub\Ozon_upload\barcode\бирки имена\девочки\Термобирки Ирина.pdf</v>
      </c>
      <c r="E73" s="10" t="str">
        <f t="shared" si="3"/>
        <v>C:\Users\maxim\Documents\GitHub\Ozon_upload\DTF_images\names\девочки\Ирина_img.tif</v>
      </c>
      <c r="F73" s="1">
        <v>1</v>
      </c>
      <c r="G73" s="1">
        <v>2</v>
      </c>
      <c r="I73" s="11" t="s">
        <v>335</v>
      </c>
      <c r="K73" s="1" t="s">
        <v>48</v>
      </c>
      <c r="AB73" s="9" t="s">
        <v>50</v>
      </c>
      <c r="AM73" s="1">
        <v>16</v>
      </c>
      <c r="AN73" s="1">
        <v>180</v>
      </c>
      <c r="AO73" s="1">
        <v>1</v>
      </c>
      <c r="AP73" s="1">
        <v>250</v>
      </c>
      <c r="AQ73" s="2" t="s">
        <v>51</v>
      </c>
    </row>
    <row r="74" spans="1:43" x14ac:dyDescent="0.2">
      <c r="A74" s="9" t="s">
        <v>336</v>
      </c>
      <c r="B74" s="1" t="s">
        <v>337</v>
      </c>
      <c r="C74" s="1" t="s">
        <v>338</v>
      </c>
      <c r="D74" s="1" t="str">
        <f t="shared" si="2"/>
        <v>Documents\GitHub\Ozon_upload\barcode\бирки имена\девочки\Термобирки Агния.pdf</v>
      </c>
      <c r="E74" s="10" t="str">
        <f t="shared" si="3"/>
        <v>C:\Users\maxim\Documents\GitHub\Ozon_upload\DTF_images\names\девочки\Агния_img.tif</v>
      </c>
      <c r="F74" s="1">
        <v>1</v>
      </c>
      <c r="G74" s="1">
        <v>2</v>
      </c>
      <c r="I74" s="11" t="s">
        <v>339</v>
      </c>
      <c r="K74" s="1" t="s">
        <v>48</v>
      </c>
      <c r="AB74" s="9" t="s">
        <v>50</v>
      </c>
      <c r="AM74" s="1">
        <v>16</v>
      </c>
      <c r="AN74" s="1">
        <v>180</v>
      </c>
      <c r="AO74" s="1">
        <v>1</v>
      </c>
      <c r="AP74" s="1">
        <v>250</v>
      </c>
      <c r="AQ74" s="2" t="s">
        <v>51</v>
      </c>
    </row>
    <row r="75" spans="1:43" x14ac:dyDescent="0.2">
      <c r="A75" s="9" t="s">
        <v>340</v>
      </c>
      <c r="B75" s="1" t="s">
        <v>341</v>
      </c>
      <c r="C75" s="1" t="s">
        <v>342</v>
      </c>
      <c r="D75" s="1" t="str">
        <f t="shared" si="2"/>
        <v>Documents\GitHub\Ozon_upload\barcode\бирки имена\девочки\Термобирки Кира.pdf</v>
      </c>
      <c r="E75" s="10" t="str">
        <f t="shared" si="3"/>
        <v>C:\Users\maxim\Documents\GitHub\Ozon_upload\DTF_images\names\девочки\Кира_img.tif</v>
      </c>
      <c r="F75" s="1">
        <v>1</v>
      </c>
      <c r="G75" s="1">
        <v>2</v>
      </c>
      <c r="I75" s="11" t="s">
        <v>343</v>
      </c>
      <c r="K75" s="1" t="s">
        <v>48</v>
      </c>
      <c r="AB75" s="9" t="s">
        <v>50</v>
      </c>
      <c r="AM75" s="1">
        <v>16</v>
      </c>
      <c r="AN75" s="1">
        <v>180</v>
      </c>
      <c r="AO75" s="1">
        <v>1</v>
      </c>
      <c r="AP75" s="1">
        <v>250</v>
      </c>
      <c r="AQ75" s="2" t="s">
        <v>51</v>
      </c>
    </row>
    <row r="76" spans="1:43" x14ac:dyDescent="0.2">
      <c r="A76" s="9" t="s">
        <v>344</v>
      </c>
      <c r="B76" s="1" t="s">
        <v>345</v>
      </c>
      <c r="C76" s="1" t="s">
        <v>346</v>
      </c>
      <c r="D76" s="1" t="str">
        <f t="shared" si="2"/>
        <v>Documents\GitHub\Ozon_upload\barcode\бирки имена\девочки\Термобирки Вероника.pdf</v>
      </c>
      <c r="E76" s="10" t="str">
        <f t="shared" si="3"/>
        <v>C:\Users\maxim\Documents\GitHub\Ozon_upload\DTF_images\names\девочки\Вероника_img.tif</v>
      </c>
      <c r="F76" s="1">
        <v>1</v>
      </c>
      <c r="G76" s="1">
        <v>2</v>
      </c>
      <c r="I76" s="11" t="s">
        <v>347</v>
      </c>
      <c r="K76" s="1" t="s">
        <v>48</v>
      </c>
      <c r="AB76" s="9" t="s">
        <v>50</v>
      </c>
      <c r="AM76" s="1">
        <v>16</v>
      </c>
      <c r="AN76" s="1">
        <v>180</v>
      </c>
      <c r="AO76" s="1">
        <v>1</v>
      </c>
      <c r="AP76" s="1">
        <v>250</v>
      </c>
      <c r="AQ76" s="2" t="s">
        <v>51</v>
      </c>
    </row>
    <row r="77" spans="1:43" x14ac:dyDescent="0.2">
      <c r="A77" s="9" t="s">
        <v>348</v>
      </c>
      <c r="B77" s="1" t="s">
        <v>349</v>
      </c>
      <c r="C77" s="1" t="s">
        <v>350</v>
      </c>
      <c r="D77" s="1" t="str">
        <f t="shared" si="2"/>
        <v>Documents\GitHub\Ozon_upload\barcode\бирки имена\девочки\Термобирки Василиса.pdf</v>
      </c>
      <c r="E77" s="10" t="str">
        <f t="shared" si="3"/>
        <v>C:\Users\maxim\Documents\GitHub\Ozon_upload\DTF_images\names\девочки\Василиса_img.tif</v>
      </c>
      <c r="F77" s="1">
        <v>1</v>
      </c>
      <c r="G77" s="1">
        <v>2</v>
      </c>
      <c r="I77" s="11" t="s">
        <v>351</v>
      </c>
      <c r="K77" s="1" t="s">
        <v>48</v>
      </c>
      <c r="AB77" s="9" t="s">
        <v>50</v>
      </c>
      <c r="AM77" s="1">
        <v>16</v>
      </c>
      <c r="AN77" s="1">
        <v>180</v>
      </c>
      <c r="AO77" s="1">
        <v>1</v>
      </c>
      <c r="AP77" s="1">
        <v>250</v>
      </c>
      <c r="AQ77" s="2" t="s">
        <v>51</v>
      </c>
    </row>
    <row r="78" spans="1:43" x14ac:dyDescent="0.2">
      <c r="A78" s="9" t="s">
        <v>352</v>
      </c>
      <c r="B78" s="1" t="s">
        <v>353</v>
      </c>
      <c r="C78" s="1" t="s">
        <v>354</v>
      </c>
      <c r="D78" s="1" t="str">
        <f t="shared" si="2"/>
        <v>Documents\GitHub\Ozon_upload\barcode\бирки имена\девочки\Термобирки Елизавета.pdf</v>
      </c>
      <c r="E78" s="10" t="str">
        <f t="shared" si="3"/>
        <v>C:\Users\maxim\Documents\GitHub\Ozon_upload\DTF_images\names\девочки\Елизавета_img.tif</v>
      </c>
      <c r="F78" s="1">
        <v>1</v>
      </c>
      <c r="G78" s="1">
        <v>2</v>
      </c>
      <c r="I78" s="11" t="s">
        <v>355</v>
      </c>
      <c r="K78" s="1" t="s">
        <v>48</v>
      </c>
      <c r="AB78" s="9" t="s">
        <v>50</v>
      </c>
      <c r="AM78" s="1">
        <v>16</v>
      </c>
      <c r="AN78" s="1">
        <v>180</v>
      </c>
      <c r="AO78" s="1">
        <v>1</v>
      </c>
      <c r="AP78" s="1">
        <v>250</v>
      </c>
      <c r="AQ78" s="2" t="s">
        <v>51</v>
      </c>
    </row>
    <row r="79" spans="1:43" x14ac:dyDescent="0.2">
      <c r="A79" s="9" t="s">
        <v>356</v>
      </c>
      <c r="B79" s="1" t="s">
        <v>357</v>
      </c>
      <c r="C79" s="1" t="s">
        <v>358</v>
      </c>
      <c r="D79" s="1" t="str">
        <f t="shared" si="2"/>
        <v>Documents\GitHub\Ozon_upload\barcode\бирки имена\девочки\Термобирки Юлия.pdf</v>
      </c>
      <c r="E79" s="10" t="str">
        <f t="shared" si="3"/>
        <v>C:\Users\maxim\Documents\GitHub\Ozon_upload\DTF_images\names\девочки\Юлия_img.tif</v>
      </c>
      <c r="F79" s="1">
        <v>1</v>
      </c>
      <c r="G79" s="1">
        <v>2</v>
      </c>
      <c r="I79" s="11" t="s">
        <v>359</v>
      </c>
      <c r="K79" s="1" t="s">
        <v>48</v>
      </c>
      <c r="AB79" s="9" t="s">
        <v>50</v>
      </c>
      <c r="AM79" s="1">
        <v>16</v>
      </c>
      <c r="AN79" s="1">
        <v>180</v>
      </c>
      <c r="AO79" s="1">
        <v>1</v>
      </c>
      <c r="AP79" s="1">
        <v>250</v>
      </c>
      <c r="AQ79" s="2" t="s">
        <v>51</v>
      </c>
    </row>
    <row r="80" spans="1:43" x14ac:dyDescent="0.2">
      <c r="A80" s="9" t="s">
        <v>360</v>
      </c>
      <c r="B80" s="1" t="s">
        <v>361</v>
      </c>
      <c r="C80" s="1" t="s">
        <v>362</v>
      </c>
      <c r="D80" s="1" t="str">
        <f t="shared" si="2"/>
        <v>Documents\GitHub\Ozon_upload\barcode\бирки имена\девочки\Термобирки Мира.pdf</v>
      </c>
      <c r="E80" s="10" t="str">
        <f t="shared" si="3"/>
        <v>C:\Users\maxim\Documents\GitHub\Ozon_upload\DTF_images\names\девочки\Мира_img.tif</v>
      </c>
      <c r="F80" s="1">
        <v>1</v>
      </c>
      <c r="G80" s="1">
        <v>2</v>
      </c>
      <c r="I80" s="11" t="s">
        <v>363</v>
      </c>
      <c r="K80" s="1" t="s">
        <v>48</v>
      </c>
      <c r="AB80" s="9" t="s">
        <v>50</v>
      </c>
      <c r="AM80" s="1">
        <v>16</v>
      </c>
      <c r="AN80" s="1">
        <v>180</v>
      </c>
      <c r="AO80" s="1">
        <v>1</v>
      </c>
      <c r="AP80" s="1">
        <v>250</v>
      </c>
      <c r="AQ80" s="2" t="s">
        <v>51</v>
      </c>
    </row>
    <row r="81" spans="1:43" x14ac:dyDescent="0.2">
      <c r="A81" s="9" t="s">
        <v>364</v>
      </c>
      <c r="B81" s="1" t="s">
        <v>365</v>
      </c>
      <c r="C81" s="1" t="s">
        <v>366</v>
      </c>
      <c r="D81" s="1" t="str">
        <f t="shared" si="2"/>
        <v>Documents\GitHub\Ozon_upload\barcode\бирки имена\девочки\Термобирки Аделина.pdf</v>
      </c>
      <c r="E81" s="10" t="str">
        <f t="shared" si="3"/>
        <v>C:\Users\maxim\Documents\GitHub\Ozon_upload\DTF_images\names\девочки\Аделина_img.tif</v>
      </c>
      <c r="F81" s="1">
        <v>1</v>
      </c>
      <c r="G81" s="1">
        <v>2</v>
      </c>
      <c r="I81" s="11" t="s">
        <v>367</v>
      </c>
      <c r="K81" s="1" t="s">
        <v>48</v>
      </c>
      <c r="AB81" s="9" t="s">
        <v>50</v>
      </c>
      <c r="AM81" s="1">
        <v>16</v>
      </c>
      <c r="AN81" s="1">
        <v>180</v>
      </c>
      <c r="AO81" s="1">
        <v>1</v>
      </c>
      <c r="AP81" s="1">
        <v>250</v>
      </c>
      <c r="AQ81" s="2" t="s">
        <v>51</v>
      </c>
    </row>
    <row r="82" spans="1:43" x14ac:dyDescent="0.2">
      <c r="A82" s="9" t="s">
        <v>368</v>
      </c>
      <c r="B82" s="1" t="s">
        <v>369</v>
      </c>
      <c r="C82" s="1" t="s">
        <v>370</v>
      </c>
      <c r="D82" s="1" t="str">
        <f t="shared" ref="D82:D87" si="4">CONCATENATE("Documents\GitHub\Ozon_upload\barcode\бирки имена\мальчики\", A82, ".pdf")</f>
        <v>Documents\GitHub\Ozon_upload\barcode\бирки имена\мальчики\Термобирки Владимир.pdf</v>
      </c>
      <c r="E82" s="10" t="str">
        <f t="shared" ref="E82:E87" si="5">CONCATENATE("C:\Users\maxim\Documents\GitHub\Ozon_upload\DTF_images\names\мальчики\",,RIGHT(A82,LEN(A82)-FIND(" ",A82)),"_img.tif")</f>
        <v>C:\Users\maxim\Documents\GitHub\Ozon_upload\DTF_images\names\мальчики\Владимир_img.tif</v>
      </c>
      <c r="F82" s="1">
        <v>1</v>
      </c>
      <c r="G82" s="1">
        <v>2</v>
      </c>
      <c r="I82" s="11" t="s">
        <v>371</v>
      </c>
      <c r="K82" s="1" t="s">
        <v>48</v>
      </c>
      <c r="AB82" s="9" t="s">
        <v>50</v>
      </c>
      <c r="AM82" s="1">
        <v>16</v>
      </c>
      <c r="AN82" s="1">
        <v>180</v>
      </c>
      <c r="AO82" s="1">
        <v>1</v>
      </c>
      <c r="AP82" s="1">
        <v>250</v>
      </c>
      <c r="AQ82" s="2" t="s">
        <v>51</v>
      </c>
    </row>
    <row r="83" spans="1:43" x14ac:dyDescent="0.2">
      <c r="A83" s="9" t="s">
        <v>372</v>
      </c>
      <c r="B83" s="1" t="s">
        <v>373</v>
      </c>
      <c r="C83" s="1" t="s">
        <v>374</v>
      </c>
      <c r="D83" s="1" t="str">
        <f t="shared" si="4"/>
        <v>Documents\GitHub\Ozon_upload\barcode\бирки имена\мальчики\Термобирки Ярослав.pdf</v>
      </c>
      <c r="E83" s="10" t="str">
        <f t="shared" si="5"/>
        <v>C:\Users\maxim\Documents\GitHub\Ozon_upload\DTF_images\names\мальчики\Ярослав_img.tif</v>
      </c>
      <c r="F83" s="1">
        <v>1</v>
      </c>
      <c r="G83" s="1">
        <v>2</v>
      </c>
      <c r="I83" s="11" t="s">
        <v>375</v>
      </c>
      <c r="K83" s="1" t="s">
        <v>48</v>
      </c>
      <c r="AB83" s="9" t="s">
        <v>50</v>
      </c>
      <c r="AM83" s="1">
        <v>16</v>
      </c>
      <c r="AN83" s="1">
        <v>180</v>
      </c>
      <c r="AO83" s="1">
        <v>1</v>
      </c>
      <c r="AP83" s="1">
        <v>250</v>
      </c>
      <c r="AQ83" s="2" t="s">
        <v>51</v>
      </c>
    </row>
    <row r="84" spans="1:43" x14ac:dyDescent="0.2">
      <c r="A84" s="9" t="s">
        <v>376</v>
      </c>
      <c r="B84" s="1" t="s">
        <v>377</v>
      </c>
      <c r="C84" s="1" t="s">
        <v>378</v>
      </c>
      <c r="D84" s="1" t="str">
        <f t="shared" si="4"/>
        <v>Documents\GitHub\Ozon_upload\barcode\бирки имена\мальчики\Термобирки Семён.pdf</v>
      </c>
      <c r="E84" s="10" t="str">
        <f t="shared" si="5"/>
        <v>C:\Users\maxim\Documents\GitHub\Ozon_upload\DTF_images\names\мальчики\Семён_img.tif</v>
      </c>
      <c r="F84" s="1">
        <v>1</v>
      </c>
      <c r="G84" s="1">
        <v>2</v>
      </c>
      <c r="I84" s="11" t="s">
        <v>379</v>
      </c>
      <c r="K84" s="1" t="s">
        <v>48</v>
      </c>
      <c r="AB84" s="9" t="s">
        <v>50</v>
      </c>
      <c r="AM84" s="1">
        <v>16</v>
      </c>
      <c r="AN84" s="1">
        <v>180</v>
      </c>
      <c r="AO84" s="1">
        <v>1</v>
      </c>
      <c r="AP84" s="1">
        <v>250</v>
      </c>
      <c r="AQ84" s="2" t="s">
        <v>51</v>
      </c>
    </row>
    <row r="85" spans="1:43" x14ac:dyDescent="0.2">
      <c r="A85" s="9" t="s">
        <v>380</v>
      </c>
      <c r="B85" s="1" t="s">
        <v>381</v>
      </c>
      <c r="C85" s="1" t="s">
        <v>382</v>
      </c>
      <c r="D85" s="1" t="str">
        <f t="shared" si="4"/>
        <v>Documents\GitHub\Ozon_upload\barcode\бирки имена\мальчики\Термобирки Сергей.pdf</v>
      </c>
      <c r="E85" s="10" t="str">
        <f t="shared" si="5"/>
        <v>C:\Users\maxim\Documents\GitHub\Ozon_upload\DTF_images\names\мальчики\Сергей_img.tif</v>
      </c>
      <c r="F85" s="1">
        <v>1</v>
      </c>
      <c r="G85" s="1">
        <v>2</v>
      </c>
      <c r="I85" s="11" t="s">
        <v>383</v>
      </c>
      <c r="K85" s="1" t="s">
        <v>48</v>
      </c>
      <c r="AB85" s="9" t="s">
        <v>50</v>
      </c>
      <c r="AM85" s="1">
        <v>16</v>
      </c>
      <c r="AN85" s="1">
        <v>180</v>
      </c>
      <c r="AO85" s="1">
        <v>1</v>
      </c>
      <c r="AP85" s="1">
        <v>250</v>
      </c>
      <c r="AQ85" s="2" t="s">
        <v>51</v>
      </c>
    </row>
    <row r="86" spans="1:43" x14ac:dyDescent="0.2">
      <c r="A86" s="9" t="s">
        <v>384</v>
      </c>
      <c r="B86" s="1" t="s">
        <v>385</v>
      </c>
      <c r="C86" s="1" t="s">
        <v>386</v>
      </c>
      <c r="D86" s="1" t="str">
        <f t="shared" si="4"/>
        <v>Documents\GitHub\Ozon_upload\barcode\бирки имена\мальчики\Термобирки Степан.pdf</v>
      </c>
      <c r="E86" s="10" t="str">
        <f t="shared" si="5"/>
        <v>C:\Users\maxim\Documents\GitHub\Ozon_upload\DTF_images\names\мальчики\Степан_img.tif</v>
      </c>
      <c r="F86" s="1">
        <v>1</v>
      </c>
      <c r="G86" s="1">
        <v>2</v>
      </c>
      <c r="I86" s="11" t="s">
        <v>387</v>
      </c>
      <c r="K86" s="1" t="s">
        <v>48</v>
      </c>
      <c r="AB86" s="9" t="s">
        <v>50</v>
      </c>
      <c r="AM86" s="1">
        <v>16</v>
      </c>
      <c r="AN86" s="1">
        <v>180</v>
      </c>
      <c r="AO86" s="1">
        <v>1</v>
      </c>
      <c r="AP86" s="1">
        <v>250</v>
      </c>
      <c r="AQ86" s="2" t="s">
        <v>51</v>
      </c>
    </row>
    <row r="87" spans="1:43" x14ac:dyDescent="0.2">
      <c r="A87" s="9" t="s">
        <v>388</v>
      </c>
      <c r="B87" s="1" t="s">
        <v>389</v>
      </c>
      <c r="C87" s="1" t="s">
        <v>390</v>
      </c>
      <c r="D87" s="1" t="str">
        <f t="shared" si="4"/>
        <v>Documents\GitHub\Ozon_upload\barcode\бирки имена\мальчики\Термобирки Данил.pdf</v>
      </c>
      <c r="E87" s="10" t="str">
        <f t="shared" si="5"/>
        <v>C:\Users\maxim\Documents\GitHub\Ozon_upload\DTF_images\names\мальчики\Данил_img.tif</v>
      </c>
      <c r="F87" s="1">
        <v>1</v>
      </c>
      <c r="G87" s="1">
        <v>2</v>
      </c>
      <c r="I87" s="11" t="s">
        <v>391</v>
      </c>
      <c r="K87" s="1" t="s">
        <v>48</v>
      </c>
      <c r="AB87" s="9" t="s">
        <v>50</v>
      </c>
      <c r="AM87" s="1">
        <v>16</v>
      </c>
      <c r="AN87" s="1">
        <v>180</v>
      </c>
      <c r="AO87" s="1">
        <v>1</v>
      </c>
      <c r="AP87" s="1">
        <v>250</v>
      </c>
      <c r="AQ87" s="2" t="s">
        <v>51</v>
      </c>
    </row>
    <row r="88" spans="1:43" s="11" customFormat="1" x14ac:dyDescent="0.2">
      <c r="A88" s="13" t="s">
        <v>392</v>
      </c>
      <c r="B88" s="11" t="s">
        <v>393</v>
      </c>
      <c r="C88" s="11" t="s">
        <v>394</v>
      </c>
      <c r="D88" s="11" t="str">
        <f t="shared" ref="D88:D115" si="6">CONCATENATE("Documents\GitHub\Ozon_upload\barcode\бирки имена\new\", A88, ".pdf")</f>
        <v>Documents\GitHub\Ozon_upload\barcode\бирки имена\new\Термобирки Аглая.pdf</v>
      </c>
      <c r="E88" s="10" t="str">
        <f t="shared" ref="E88:E98" si="7">CONCATENATE("C:\Users\maxim\Documents\GitHub\Ozon_upload\DTF_images\names\девочки\",,RIGHT(A88,LEN(A88)-FIND(" ",A88)),"_img.tif")</f>
        <v>C:\Users\maxim\Documents\GitHub\Ozon_upload\DTF_images\names\девочки\Аглая_img.tif</v>
      </c>
      <c r="F88" s="11">
        <v>1</v>
      </c>
      <c r="G88" s="11">
        <v>2</v>
      </c>
      <c r="I88" s="11" t="s">
        <v>395</v>
      </c>
      <c r="K88" s="11" t="s">
        <v>48</v>
      </c>
      <c r="AB88" s="13" t="s">
        <v>50</v>
      </c>
      <c r="AM88" s="11">
        <v>16</v>
      </c>
      <c r="AN88" s="11">
        <v>180</v>
      </c>
      <c r="AO88" s="11">
        <v>1</v>
      </c>
      <c r="AP88" s="11">
        <v>250</v>
      </c>
      <c r="AQ88" s="14" t="s">
        <v>51</v>
      </c>
    </row>
    <row r="89" spans="1:43" s="11" customFormat="1" x14ac:dyDescent="0.2">
      <c r="A89" s="13" t="s">
        <v>396</v>
      </c>
      <c r="B89" s="11" t="s">
        <v>397</v>
      </c>
      <c r="C89" s="11" t="s">
        <v>398</v>
      </c>
      <c r="D89" s="11" t="str">
        <f t="shared" si="6"/>
        <v>Documents\GitHub\Ozon_upload\barcode\бирки имена\new\Термобирки Виолетта.pdf</v>
      </c>
      <c r="E89" s="10" t="str">
        <f t="shared" si="7"/>
        <v>C:\Users\maxim\Documents\GitHub\Ozon_upload\DTF_images\names\девочки\Виолетта_img.tif</v>
      </c>
      <c r="F89" s="11">
        <v>1</v>
      </c>
      <c r="G89" s="11">
        <v>2</v>
      </c>
      <c r="I89" s="11" t="s">
        <v>399</v>
      </c>
      <c r="K89" s="11" t="s">
        <v>48</v>
      </c>
      <c r="AB89" s="13" t="s">
        <v>50</v>
      </c>
      <c r="AM89" s="11">
        <v>16</v>
      </c>
      <c r="AN89" s="11">
        <v>180</v>
      </c>
      <c r="AO89" s="11">
        <v>1</v>
      </c>
      <c r="AP89" s="11">
        <v>250</v>
      </c>
      <c r="AQ89" s="14" t="s">
        <v>51</v>
      </c>
    </row>
    <row r="90" spans="1:43" s="11" customFormat="1" x14ac:dyDescent="0.2">
      <c r="A90" s="13" t="s">
        <v>400</v>
      </c>
      <c r="B90" s="11" t="s">
        <v>401</v>
      </c>
      <c r="C90" s="11" t="s">
        <v>402</v>
      </c>
      <c r="D90" s="11" t="str">
        <f t="shared" si="6"/>
        <v>Documents\GitHub\Ozon_upload\barcode\бирки имена\new\Термобирки Кристина.pdf</v>
      </c>
      <c r="E90" s="10" t="str">
        <f t="shared" si="7"/>
        <v>C:\Users\maxim\Documents\GitHub\Ozon_upload\DTF_images\names\девочки\Кристина_img.tif</v>
      </c>
      <c r="F90" s="11">
        <v>1</v>
      </c>
      <c r="G90" s="11">
        <v>2</v>
      </c>
      <c r="I90" s="11" t="s">
        <v>403</v>
      </c>
      <c r="K90" s="11" t="s">
        <v>48</v>
      </c>
      <c r="AB90" s="13" t="s">
        <v>50</v>
      </c>
      <c r="AM90" s="11">
        <v>16</v>
      </c>
      <c r="AN90" s="11">
        <v>180</v>
      </c>
      <c r="AO90" s="11">
        <v>1</v>
      </c>
      <c r="AP90" s="11">
        <v>250</v>
      </c>
      <c r="AQ90" s="14" t="s">
        <v>51</v>
      </c>
    </row>
    <row r="91" spans="1:43" s="11" customFormat="1" x14ac:dyDescent="0.2">
      <c r="A91" s="13" t="s">
        <v>404</v>
      </c>
      <c r="B91" s="11" t="s">
        <v>405</v>
      </c>
      <c r="C91" s="11" t="s">
        <v>406</v>
      </c>
      <c r="D91" s="11" t="str">
        <f t="shared" si="6"/>
        <v>Documents\GitHub\Ozon_upload\barcode\бирки имена\new\Термобирки Марьяна.pdf</v>
      </c>
      <c r="E91" s="10" t="str">
        <f t="shared" si="7"/>
        <v>C:\Users\maxim\Documents\GitHub\Ozon_upload\DTF_images\names\девочки\Марьяна_img.tif</v>
      </c>
      <c r="F91" s="11">
        <v>1</v>
      </c>
      <c r="G91" s="11">
        <v>2</v>
      </c>
      <c r="I91" s="11" t="s">
        <v>407</v>
      </c>
      <c r="K91" s="11" t="s">
        <v>48</v>
      </c>
      <c r="AB91" s="13" t="s">
        <v>50</v>
      </c>
      <c r="AM91" s="11">
        <v>16</v>
      </c>
      <c r="AN91" s="11">
        <v>180</v>
      </c>
      <c r="AO91" s="11">
        <v>1</v>
      </c>
      <c r="AP91" s="11">
        <v>250</v>
      </c>
      <c r="AQ91" s="14" t="s">
        <v>51</v>
      </c>
    </row>
    <row r="92" spans="1:43" s="11" customFormat="1" x14ac:dyDescent="0.2">
      <c r="A92" s="13" t="s">
        <v>408</v>
      </c>
      <c r="B92" s="11" t="s">
        <v>409</v>
      </c>
      <c r="C92" s="11" t="s">
        <v>410</v>
      </c>
      <c r="D92" s="11" t="str">
        <f t="shared" si="6"/>
        <v>Documents\GitHub\Ozon_upload\barcode\бирки имена\new\Термобирки Маргарита.pdf</v>
      </c>
      <c r="E92" s="10" t="str">
        <f t="shared" si="7"/>
        <v>C:\Users\maxim\Documents\GitHub\Ozon_upload\DTF_images\names\девочки\Маргарита_img.tif</v>
      </c>
      <c r="F92" s="11">
        <v>1</v>
      </c>
      <c r="G92" s="11">
        <v>2</v>
      </c>
      <c r="I92" s="11" t="s">
        <v>411</v>
      </c>
      <c r="K92" s="11" t="s">
        <v>48</v>
      </c>
      <c r="AB92" s="13" t="s">
        <v>50</v>
      </c>
      <c r="AM92" s="11">
        <v>16</v>
      </c>
      <c r="AN92" s="11">
        <v>180</v>
      </c>
      <c r="AO92" s="11">
        <v>1</v>
      </c>
      <c r="AP92" s="11">
        <v>250</v>
      </c>
      <c r="AQ92" s="14" t="s">
        <v>51</v>
      </c>
    </row>
    <row r="93" spans="1:43" s="11" customFormat="1" x14ac:dyDescent="0.2">
      <c r="A93" s="13" t="s">
        <v>412</v>
      </c>
      <c r="B93" s="11" t="s">
        <v>413</v>
      </c>
      <c r="C93" s="11" t="s">
        <v>414</v>
      </c>
      <c r="D93" s="11" t="str">
        <f t="shared" si="6"/>
        <v>Documents\GitHub\Ozon_upload\barcode\бирки имена\new\Термобирки Ульяна.pdf</v>
      </c>
      <c r="E93" s="10" t="str">
        <f t="shared" si="7"/>
        <v>C:\Users\maxim\Documents\GitHub\Ozon_upload\DTF_images\names\девочки\Ульяна_img.tif</v>
      </c>
      <c r="F93" s="11">
        <v>1</v>
      </c>
      <c r="G93" s="11">
        <v>2</v>
      </c>
      <c r="I93" s="11" t="s">
        <v>415</v>
      </c>
      <c r="K93" s="11" t="s">
        <v>48</v>
      </c>
      <c r="AB93" s="13" t="s">
        <v>50</v>
      </c>
      <c r="AM93" s="11">
        <v>16</v>
      </c>
      <c r="AN93" s="11">
        <v>180</v>
      </c>
      <c r="AO93" s="11">
        <v>1</v>
      </c>
      <c r="AP93" s="11">
        <v>250</v>
      </c>
      <c r="AQ93" s="14" t="s">
        <v>51</v>
      </c>
    </row>
    <row r="94" spans="1:43" s="11" customFormat="1" x14ac:dyDescent="0.2">
      <c r="A94" s="13" t="s">
        <v>416</v>
      </c>
      <c r="B94" s="11" t="s">
        <v>417</v>
      </c>
      <c r="C94" s="11" t="s">
        <v>418</v>
      </c>
      <c r="D94" s="11" t="str">
        <f t="shared" si="6"/>
        <v>Documents\GitHub\Ozon_upload\barcode\бирки имена\new\Термобирки Владислава.pdf</v>
      </c>
      <c r="E94" s="10" t="str">
        <f t="shared" si="7"/>
        <v>C:\Users\maxim\Documents\GitHub\Ozon_upload\DTF_images\names\девочки\Владислава_img.tif</v>
      </c>
      <c r="F94" s="11">
        <v>1</v>
      </c>
      <c r="G94" s="11">
        <v>2</v>
      </c>
      <c r="I94" s="11" t="s">
        <v>419</v>
      </c>
      <c r="K94" s="11" t="s">
        <v>48</v>
      </c>
      <c r="AB94" s="13" t="s">
        <v>50</v>
      </c>
      <c r="AM94" s="11">
        <v>16</v>
      </c>
      <c r="AN94" s="11">
        <v>180</v>
      </c>
      <c r="AO94" s="11">
        <v>1</v>
      </c>
      <c r="AP94" s="11">
        <v>250</v>
      </c>
      <c r="AQ94" s="14" t="s">
        <v>51</v>
      </c>
    </row>
    <row r="95" spans="1:43" s="11" customFormat="1" x14ac:dyDescent="0.2">
      <c r="A95" s="13" t="s">
        <v>420</v>
      </c>
      <c r="B95" s="11" t="s">
        <v>421</v>
      </c>
      <c r="C95" s="11" t="s">
        <v>422</v>
      </c>
      <c r="D95" s="11" t="str">
        <f t="shared" si="6"/>
        <v>Documents\GitHub\Ozon_upload\barcode\бирки имена\new\Термобирки Альбина.pdf</v>
      </c>
      <c r="E95" s="10" t="str">
        <f t="shared" si="7"/>
        <v>C:\Users\maxim\Documents\GitHub\Ozon_upload\DTF_images\names\девочки\Альбина_img.tif</v>
      </c>
      <c r="F95" s="11">
        <v>1</v>
      </c>
      <c r="G95" s="11">
        <v>2</v>
      </c>
      <c r="I95" s="11" t="s">
        <v>423</v>
      </c>
      <c r="K95" s="11" t="s">
        <v>48</v>
      </c>
      <c r="AB95" s="13" t="s">
        <v>50</v>
      </c>
      <c r="AM95" s="11">
        <v>16</v>
      </c>
      <c r="AN95" s="11">
        <v>180</v>
      </c>
      <c r="AO95" s="11">
        <v>1</v>
      </c>
      <c r="AP95" s="11">
        <v>250</v>
      </c>
      <c r="AQ95" s="14" t="s">
        <v>51</v>
      </c>
    </row>
    <row r="96" spans="1:43" s="11" customFormat="1" x14ac:dyDescent="0.2">
      <c r="A96" s="13" t="s">
        <v>424</v>
      </c>
      <c r="B96" s="11" t="s">
        <v>425</v>
      </c>
      <c r="C96" s="11" t="s">
        <v>426</v>
      </c>
      <c r="D96" s="11" t="str">
        <f t="shared" si="6"/>
        <v>Documents\GitHub\Ozon_upload\barcode\бирки имена\new\Термобирки Евгения.pdf</v>
      </c>
      <c r="E96" s="10" t="str">
        <f t="shared" si="7"/>
        <v>C:\Users\maxim\Documents\GitHub\Ozon_upload\DTF_images\names\девочки\Евгения_img.tif</v>
      </c>
      <c r="F96" s="11">
        <v>1</v>
      </c>
      <c r="G96" s="11">
        <v>2</v>
      </c>
      <c r="I96" s="11" t="s">
        <v>427</v>
      </c>
      <c r="K96" s="11" t="s">
        <v>48</v>
      </c>
      <c r="AB96" s="13" t="s">
        <v>50</v>
      </c>
      <c r="AM96" s="11">
        <v>16</v>
      </c>
      <c r="AN96" s="11">
        <v>180</v>
      </c>
      <c r="AO96" s="11">
        <v>1</v>
      </c>
      <c r="AP96" s="11">
        <v>250</v>
      </c>
      <c r="AQ96" s="14" t="s">
        <v>51</v>
      </c>
    </row>
    <row r="97" spans="1:43" s="11" customFormat="1" x14ac:dyDescent="0.2">
      <c r="A97" s="13" t="s">
        <v>428</v>
      </c>
      <c r="B97" s="11" t="s">
        <v>429</v>
      </c>
      <c r="C97" s="11" t="s">
        <v>430</v>
      </c>
      <c r="D97" s="11" t="str">
        <f t="shared" si="6"/>
        <v>Documents\GitHub\Ozon_upload\barcode\бирки имена\new\Термобирки Вера.pdf</v>
      </c>
      <c r="E97" s="10" t="str">
        <f t="shared" si="7"/>
        <v>C:\Users\maxim\Documents\GitHub\Ozon_upload\DTF_images\names\девочки\Вера_img.tif</v>
      </c>
      <c r="F97" s="11">
        <v>1</v>
      </c>
      <c r="G97" s="11">
        <v>2</v>
      </c>
      <c r="I97" s="11" t="s">
        <v>431</v>
      </c>
      <c r="K97" s="11" t="s">
        <v>48</v>
      </c>
      <c r="AB97" s="13" t="s">
        <v>50</v>
      </c>
      <c r="AM97" s="11">
        <v>16</v>
      </c>
      <c r="AN97" s="11">
        <v>180</v>
      </c>
      <c r="AO97" s="11">
        <v>1</v>
      </c>
      <c r="AP97" s="11">
        <v>250</v>
      </c>
      <c r="AQ97" s="14" t="s">
        <v>51</v>
      </c>
    </row>
    <row r="98" spans="1:43" s="11" customFormat="1" x14ac:dyDescent="0.2">
      <c r="A98" s="13" t="s">
        <v>432</v>
      </c>
      <c r="B98" s="11" t="s">
        <v>433</v>
      </c>
      <c r="C98" s="11" t="s">
        <v>434</v>
      </c>
      <c r="D98" s="11" t="str">
        <f t="shared" si="6"/>
        <v>Documents\GitHub\Ozon_upload\barcode\бирки имена\new\Термобирки Ника.pdf</v>
      </c>
      <c r="E98" s="10" t="str">
        <f t="shared" si="7"/>
        <v>C:\Users\maxim\Documents\GitHub\Ozon_upload\DTF_images\names\девочки\Ника_img.tif</v>
      </c>
      <c r="F98" s="11">
        <v>1</v>
      </c>
      <c r="G98" s="11">
        <v>2</v>
      </c>
      <c r="I98" s="11" t="s">
        <v>435</v>
      </c>
      <c r="K98" s="11" t="s">
        <v>48</v>
      </c>
      <c r="AB98" s="13" t="s">
        <v>50</v>
      </c>
      <c r="AM98" s="11">
        <v>16</v>
      </c>
      <c r="AN98" s="11">
        <v>180</v>
      </c>
      <c r="AO98" s="11">
        <v>1</v>
      </c>
      <c r="AP98" s="11">
        <v>250</v>
      </c>
      <c r="AQ98" s="14" t="s">
        <v>51</v>
      </c>
    </row>
    <row r="99" spans="1:43" s="11" customFormat="1" x14ac:dyDescent="0.2">
      <c r="A99" s="13" t="s">
        <v>436</v>
      </c>
      <c r="B99" s="11" t="s">
        <v>437</v>
      </c>
      <c r="C99" s="11" t="s">
        <v>438</v>
      </c>
      <c r="D99" s="11" t="str">
        <f t="shared" si="6"/>
        <v>Documents\GitHub\Ozon_upload\barcode\бирки имена\new\Термобирки Гордей.pdf</v>
      </c>
      <c r="E99" s="10" t="str">
        <f t="shared" ref="E99:E115" si="8">CONCATENATE("C:\Users\maxim\Documents\GitHub\Ozon_upload\DTF_images\names\мальчики\",,RIGHT(A99,LEN(A99)-FIND(" ",A99)),"_img.tif")</f>
        <v>C:\Users\maxim\Documents\GitHub\Ozon_upload\DTF_images\names\мальчики\Гордей_img.tif</v>
      </c>
      <c r="F99" s="11">
        <v>1</v>
      </c>
      <c r="G99" s="11">
        <v>2</v>
      </c>
      <c r="I99" s="11" t="s">
        <v>439</v>
      </c>
      <c r="K99" s="11" t="s">
        <v>48</v>
      </c>
      <c r="AB99" s="13" t="s">
        <v>50</v>
      </c>
      <c r="AM99" s="11">
        <v>16</v>
      </c>
      <c r="AN99" s="11">
        <v>180</v>
      </c>
      <c r="AO99" s="11">
        <v>1</v>
      </c>
      <c r="AP99" s="11">
        <v>250</v>
      </c>
      <c r="AQ99" s="14" t="s">
        <v>51</v>
      </c>
    </row>
    <row r="100" spans="1:43" s="11" customFormat="1" x14ac:dyDescent="0.2">
      <c r="A100" s="13" t="s">
        <v>440</v>
      </c>
      <c r="B100" s="11" t="s">
        <v>441</v>
      </c>
      <c r="C100" s="11" t="s">
        <v>442</v>
      </c>
      <c r="D100" s="11" t="str">
        <f t="shared" si="6"/>
        <v>Documents\GitHub\Ozon_upload\barcode\бирки имена\new\Термобирки Тимур.pdf</v>
      </c>
      <c r="E100" s="10" t="str">
        <f t="shared" si="8"/>
        <v>C:\Users\maxim\Documents\GitHub\Ozon_upload\DTF_images\names\мальчики\Тимур_img.tif</v>
      </c>
      <c r="F100" s="11">
        <v>1</v>
      </c>
      <c r="G100" s="11">
        <v>2</v>
      </c>
      <c r="I100" s="11" t="s">
        <v>443</v>
      </c>
      <c r="K100" s="11" t="s">
        <v>48</v>
      </c>
      <c r="AB100" s="13" t="s">
        <v>50</v>
      </c>
      <c r="AM100" s="11">
        <v>16</v>
      </c>
      <c r="AN100" s="11">
        <v>180</v>
      </c>
      <c r="AO100" s="11">
        <v>1</v>
      </c>
      <c r="AP100" s="11">
        <v>250</v>
      </c>
      <c r="AQ100" s="14" t="s">
        <v>51</v>
      </c>
    </row>
    <row r="101" spans="1:43" s="11" customFormat="1" x14ac:dyDescent="0.2">
      <c r="A101" s="13" t="s">
        <v>444</v>
      </c>
      <c r="B101" s="11" t="s">
        <v>445</v>
      </c>
      <c r="C101" s="11" t="s">
        <v>446</v>
      </c>
      <c r="D101" s="11" t="str">
        <f t="shared" si="6"/>
        <v>Documents\GitHub\Ozon_upload\barcode\бирки имена\new\Термобирки Григорий.pdf</v>
      </c>
      <c r="E101" s="10" t="str">
        <f t="shared" si="8"/>
        <v>C:\Users\maxim\Documents\GitHub\Ozon_upload\DTF_images\names\мальчики\Григорий_img.tif</v>
      </c>
      <c r="F101" s="11">
        <v>1</v>
      </c>
      <c r="G101" s="11">
        <v>2</v>
      </c>
      <c r="I101" s="11" t="s">
        <v>447</v>
      </c>
      <c r="K101" s="11" t="s">
        <v>48</v>
      </c>
      <c r="AB101" s="13" t="s">
        <v>50</v>
      </c>
      <c r="AM101" s="11">
        <v>16</v>
      </c>
      <c r="AN101" s="11">
        <v>180</v>
      </c>
      <c r="AO101" s="11">
        <v>1</v>
      </c>
      <c r="AP101" s="11">
        <v>250</v>
      </c>
      <c r="AQ101" s="14" t="s">
        <v>51</v>
      </c>
    </row>
    <row r="102" spans="1:43" s="11" customFormat="1" x14ac:dyDescent="0.2">
      <c r="A102" s="13" t="s">
        <v>448</v>
      </c>
      <c r="B102" s="11" t="s">
        <v>449</v>
      </c>
      <c r="C102" s="11" t="s">
        <v>450</v>
      </c>
      <c r="D102" s="11" t="str">
        <f t="shared" si="6"/>
        <v>Documents\GitHub\Ozon_upload\barcode\бирки имена\new\Термобирки Николай.pdf</v>
      </c>
      <c r="E102" s="10" t="str">
        <f t="shared" si="8"/>
        <v>C:\Users\maxim\Documents\GitHub\Ozon_upload\DTF_images\names\мальчики\Николай_img.tif</v>
      </c>
      <c r="F102" s="11">
        <v>1</v>
      </c>
      <c r="G102" s="11">
        <v>2</v>
      </c>
      <c r="I102" s="11" t="s">
        <v>451</v>
      </c>
      <c r="K102" s="11" t="s">
        <v>48</v>
      </c>
      <c r="AB102" s="13" t="s">
        <v>50</v>
      </c>
      <c r="AM102" s="11">
        <v>16</v>
      </c>
      <c r="AN102" s="11">
        <v>180</v>
      </c>
      <c r="AO102" s="11">
        <v>1</v>
      </c>
      <c r="AP102" s="11">
        <v>250</v>
      </c>
      <c r="AQ102" s="14" t="s">
        <v>51</v>
      </c>
    </row>
    <row r="103" spans="1:43" s="11" customFormat="1" x14ac:dyDescent="0.2">
      <c r="A103" s="13" t="s">
        <v>452</v>
      </c>
      <c r="B103" s="11" t="s">
        <v>453</v>
      </c>
      <c r="C103" s="11" t="s">
        <v>454</v>
      </c>
      <c r="D103" s="11" t="str">
        <f t="shared" si="6"/>
        <v>Documents\GitHub\Ozon_upload\barcode\бирки имена\new\Термобирки Давид.pdf</v>
      </c>
      <c r="E103" s="10" t="str">
        <f t="shared" si="8"/>
        <v>C:\Users\maxim\Documents\GitHub\Ozon_upload\DTF_images\names\мальчики\Давид_img.tif</v>
      </c>
      <c r="F103" s="11">
        <v>1</v>
      </c>
      <c r="G103" s="11">
        <v>2</v>
      </c>
      <c r="I103" s="11" t="s">
        <v>455</v>
      </c>
      <c r="K103" s="11" t="s">
        <v>48</v>
      </c>
      <c r="AB103" s="13" t="s">
        <v>50</v>
      </c>
      <c r="AM103" s="11">
        <v>16</v>
      </c>
      <c r="AN103" s="11">
        <v>180</v>
      </c>
      <c r="AO103" s="11">
        <v>1</v>
      </c>
      <c r="AP103" s="11">
        <v>250</v>
      </c>
      <c r="AQ103" s="14" t="s">
        <v>51</v>
      </c>
    </row>
    <row r="104" spans="1:43" s="11" customFormat="1" x14ac:dyDescent="0.2">
      <c r="A104" s="13" t="s">
        <v>456</v>
      </c>
      <c r="B104" s="11" t="s">
        <v>457</v>
      </c>
      <c r="C104" s="11" t="s">
        <v>458</v>
      </c>
      <c r="D104" s="11" t="str">
        <f t="shared" si="6"/>
        <v>Documents\GitHub\Ozon_upload\barcode\бирки имена\new\Термобирки Влад.pdf</v>
      </c>
      <c r="E104" s="10" t="str">
        <f t="shared" si="8"/>
        <v>C:\Users\maxim\Documents\GitHub\Ozon_upload\DTF_images\names\мальчики\Влад_img.tif</v>
      </c>
      <c r="F104" s="11">
        <v>1</v>
      </c>
      <c r="G104" s="11">
        <v>2</v>
      </c>
      <c r="I104" s="11" t="s">
        <v>459</v>
      </c>
      <c r="K104" s="11" t="s">
        <v>48</v>
      </c>
      <c r="AB104" s="13" t="s">
        <v>50</v>
      </c>
      <c r="AM104" s="11">
        <v>16</v>
      </c>
      <c r="AN104" s="11">
        <v>180</v>
      </c>
      <c r="AO104" s="11">
        <v>1</v>
      </c>
      <c r="AP104" s="11">
        <v>250</v>
      </c>
      <c r="AQ104" s="14" t="s">
        <v>51</v>
      </c>
    </row>
    <row r="105" spans="1:43" s="11" customFormat="1" x14ac:dyDescent="0.2">
      <c r="A105" s="13" t="s">
        <v>460</v>
      </c>
      <c r="B105" s="11" t="s">
        <v>461</v>
      </c>
      <c r="C105" s="11" t="s">
        <v>462</v>
      </c>
      <c r="D105" s="11" t="str">
        <f t="shared" si="6"/>
        <v>Documents\GitHub\Ozon_upload\barcode\бирки имена\new\Термобирки Леонид.pdf</v>
      </c>
      <c r="E105" s="10" t="str">
        <f t="shared" si="8"/>
        <v>C:\Users\maxim\Documents\GitHub\Ozon_upload\DTF_images\names\мальчики\Леонид_img.tif</v>
      </c>
      <c r="F105" s="11">
        <v>1</v>
      </c>
      <c r="G105" s="11">
        <v>2</v>
      </c>
      <c r="I105" s="11" t="s">
        <v>463</v>
      </c>
      <c r="K105" s="11" t="s">
        <v>48</v>
      </c>
      <c r="AB105" s="13" t="s">
        <v>50</v>
      </c>
      <c r="AM105" s="11">
        <v>16</v>
      </c>
      <c r="AN105" s="11">
        <v>180</v>
      </c>
      <c r="AO105" s="11">
        <v>1</v>
      </c>
      <c r="AP105" s="11">
        <v>250</v>
      </c>
      <c r="AQ105" s="14" t="s">
        <v>51</v>
      </c>
    </row>
    <row r="106" spans="1:43" s="11" customFormat="1" x14ac:dyDescent="0.2">
      <c r="A106" s="13" t="s">
        <v>464</v>
      </c>
      <c r="B106" s="11" t="s">
        <v>465</v>
      </c>
      <c r="C106" s="11" t="s">
        <v>466</v>
      </c>
      <c r="D106" s="11" t="str">
        <f t="shared" si="6"/>
        <v>Documents\GitHub\Ozon_upload\barcode\бирки имена\new\Термобирки Святослав.pdf</v>
      </c>
      <c r="E106" s="10" t="str">
        <f t="shared" si="8"/>
        <v>C:\Users\maxim\Documents\GitHub\Ozon_upload\DTF_images\names\мальчики\Святослав_img.tif</v>
      </c>
      <c r="F106" s="11">
        <v>1</v>
      </c>
      <c r="G106" s="11">
        <v>2</v>
      </c>
      <c r="I106" s="11" t="s">
        <v>467</v>
      </c>
      <c r="K106" s="11" t="s">
        <v>48</v>
      </c>
      <c r="AB106" s="13" t="s">
        <v>50</v>
      </c>
      <c r="AM106" s="11">
        <v>16</v>
      </c>
      <c r="AN106" s="11">
        <v>180</v>
      </c>
      <c r="AO106" s="11">
        <v>1</v>
      </c>
      <c r="AP106" s="11">
        <v>250</v>
      </c>
      <c r="AQ106" s="14" t="s">
        <v>51</v>
      </c>
    </row>
    <row r="107" spans="1:43" s="11" customFormat="1" x14ac:dyDescent="0.2">
      <c r="A107" s="13" t="s">
        <v>468</v>
      </c>
      <c r="B107" s="11" t="s">
        <v>469</v>
      </c>
      <c r="C107" s="11" t="s">
        <v>470</v>
      </c>
      <c r="D107" s="11" t="str">
        <f t="shared" si="6"/>
        <v>Documents\GitHub\Ozon_upload\barcode\бирки имена\new\Термобирки Вениамин.pdf</v>
      </c>
      <c r="E107" s="10" t="str">
        <f t="shared" si="8"/>
        <v>C:\Users\maxim\Documents\GitHub\Ozon_upload\DTF_images\names\мальчики\Вениамин_img.tif</v>
      </c>
      <c r="F107" s="11">
        <v>1</v>
      </c>
      <c r="G107" s="11">
        <v>2</v>
      </c>
      <c r="I107" s="11" t="s">
        <v>471</v>
      </c>
      <c r="K107" s="11" t="s">
        <v>48</v>
      </c>
      <c r="AB107" s="13" t="s">
        <v>50</v>
      </c>
      <c r="AM107" s="11">
        <v>16</v>
      </c>
      <c r="AN107" s="11">
        <v>180</v>
      </c>
      <c r="AO107" s="11">
        <v>1</v>
      </c>
      <c r="AP107" s="11">
        <v>250</v>
      </c>
      <c r="AQ107" s="14" t="s">
        <v>51</v>
      </c>
    </row>
    <row r="108" spans="1:43" s="11" customFormat="1" x14ac:dyDescent="0.2">
      <c r="A108" s="13" t="s">
        <v>472</v>
      </c>
      <c r="B108" s="11" t="s">
        <v>473</v>
      </c>
      <c r="C108" s="11" t="s">
        <v>474</v>
      </c>
      <c r="D108" s="11" t="str">
        <f t="shared" si="6"/>
        <v>Documents\GitHub\Ozon_upload\barcode\бирки имена\new\Термобирки Захар.pdf</v>
      </c>
      <c r="E108" s="10" t="str">
        <f t="shared" si="8"/>
        <v>C:\Users\maxim\Documents\GitHub\Ozon_upload\DTF_images\names\мальчики\Захар_img.tif</v>
      </c>
      <c r="F108" s="11">
        <v>1</v>
      </c>
      <c r="G108" s="11">
        <v>2</v>
      </c>
      <c r="I108" s="11" t="s">
        <v>475</v>
      </c>
      <c r="K108" s="11" t="s">
        <v>48</v>
      </c>
      <c r="AB108" s="13" t="s">
        <v>50</v>
      </c>
      <c r="AM108" s="11">
        <v>16</v>
      </c>
      <c r="AN108" s="11">
        <v>180</v>
      </c>
      <c r="AO108" s="11">
        <v>1</v>
      </c>
      <c r="AP108" s="11">
        <v>250</v>
      </c>
      <c r="AQ108" s="14" t="s">
        <v>51</v>
      </c>
    </row>
    <row r="109" spans="1:43" s="11" customFormat="1" x14ac:dyDescent="0.2">
      <c r="A109" s="13" t="s">
        <v>476</v>
      </c>
      <c r="B109" s="11" t="s">
        <v>477</v>
      </c>
      <c r="C109" s="11" t="s">
        <v>478</v>
      </c>
      <c r="D109" s="11" t="str">
        <f t="shared" si="6"/>
        <v>Documents\GitHub\Ozon_upload\barcode\бирки имена\new\Термобирки Арсений.pdf</v>
      </c>
      <c r="E109" s="10" t="str">
        <f t="shared" si="8"/>
        <v>C:\Users\maxim\Documents\GitHub\Ozon_upload\DTF_images\names\мальчики\Арсений_img.tif</v>
      </c>
      <c r="F109" s="11">
        <v>1</v>
      </c>
      <c r="G109" s="11">
        <v>2</v>
      </c>
      <c r="I109" s="11" t="s">
        <v>479</v>
      </c>
      <c r="K109" s="11" t="s">
        <v>48</v>
      </c>
      <c r="AB109" s="13" t="s">
        <v>50</v>
      </c>
      <c r="AM109" s="11">
        <v>16</v>
      </c>
      <c r="AN109" s="11">
        <v>180</v>
      </c>
      <c r="AO109" s="11">
        <v>1</v>
      </c>
      <c r="AP109" s="11">
        <v>250</v>
      </c>
      <c r="AQ109" s="14" t="s">
        <v>51</v>
      </c>
    </row>
    <row r="110" spans="1:43" s="11" customFormat="1" x14ac:dyDescent="0.2">
      <c r="A110" s="13" t="s">
        <v>480</v>
      </c>
      <c r="B110" s="11" t="s">
        <v>481</v>
      </c>
      <c r="C110" s="11" t="s">
        <v>482</v>
      </c>
      <c r="D110" s="11" t="str">
        <f t="shared" si="6"/>
        <v>Documents\GitHub\Ozon_upload\barcode\бирки имена\new\Термобирки Никита.pdf</v>
      </c>
      <c r="E110" s="10" t="str">
        <f t="shared" si="8"/>
        <v>C:\Users\maxim\Documents\GitHub\Ozon_upload\DTF_images\names\мальчики\Никита_img.tif</v>
      </c>
      <c r="F110" s="11">
        <v>1</v>
      </c>
      <c r="G110" s="11">
        <v>2</v>
      </c>
      <c r="I110" s="11" t="s">
        <v>483</v>
      </c>
      <c r="K110" s="11" t="s">
        <v>48</v>
      </c>
      <c r="AB110" s="13" t="s">
        <v>50</v>
      </c>
      <c r="AM110" s="11">
        <v>16</v>
      </c>
      <c r="AN110" s="11">
        <v>180</v>
      </c>
      <c r="AO110" s="11">
        <v>1</v>
      </c>
      <c r="AP110" s="11">
        <v>250</v>
      </c>
      <c r="AQ110" s="14" t="s">
        <v>51</v>
      </c>
    </row>
    <row r="111" spans="1:43" s="11" customFormat="1" x14ac:dyDescent="0.2">
      <c r="A111" s="13" t="s">
        <v>484</v>
      </c>
      <c r="B111" s="11" t="s">
        <v>485</v>
      </c>
      <c r="C111" s="11" t="s">
        <v>486</v>
      </c>
      <c r="D111" s="11" t="str">
        <f t="shared" si="6"/>
        <v>Documents\GitHub\Ozon_upload\barcode\бирки имена\new\Термобирки Виктор.pdf</v>
      </c>
      <c r="E111" s="10" t="str">
        <f t="shared" si="8"/>
        <v>C:\Users\maxim\Documents\GitHub\Ozon_upload\DTF_images\names\мальчики\Виктор_img.tif</v>
      </c>
      <c r="F111" s="11">
        <v>1</v>
      </c>
      <c r="G111" s="11">
        <v>2</v>
      </c>
      <c r="I111" s="11" t="s">
        <v>487</v>
      </c>
      <c r="K111" s="11" t="s">
        <v>48</v>
      </c>
      <c r="AB111" s="13" t="s">
        <v>50</v>
      </c>
      <c r="AM111" s="11">
        <v>16</v>
      </c>
      <c r="AN111" s="11">
        <v>180</v>
      </c>
      <c r="AO111" s="11">
        <v>1</v>
      </c>
      <c r="AP111" s="11">
        <v>250</v>
      </c>
      <c r="AQ111" s="14" t="s">
        <v>51</v>
      </c>
    </row>
    <row r="112" spans="1:43" s="11" customFormat="1" x14ac:dyDescent="0.2">
      <c r="A112" s="13" t="s">
        <v>488</v>
      </c>
      <c r="B112" s="11" t="s">
        <v>489</v>
      </c>
      <c r="C112" s="11" t="s">
        <v>490</v>
      </c>
      <c r="D112" s="11" t="str">
        <f t="shared" si="6"/>
        <v>Documents\GitHub\Ozon_upload\barcode\бирки имена\new\Термобирки Глеб.pdf</v>
      </c>
      <c r="E112" s="10" t="str">
        <f t="shared" si="8"/>
        <v>C:\Users\maxim\Documents\GitHub\Ozon_upload\DTF_images\names\мальчики\Глеб_img.tif</v>
      </c>
      <c r="F112" s="11">
        <v>1</v>
      </c>
      <c r="G112" s="11">
        <v>2</v>
      </c>
      <c r="I112" s="11" t="s">
        <v>491</v>
      </c>
      <c r="K112" s="11" t="s">
        <v>48</v>
      </c>
      <c r="AB112" s="13" t="s">
        <v>50</v>
      </c>
      <c r="AM112" s="11">
        <v>16</v>
      </c>
      <c r="AN112" s="11">
        <v>180</v>
      </c>
      <c r="AO112" s="11">
        <v>1</v>
      </c>
      <c r="AP112" s="11">
        <v>250</v>
      </c>
      <c r="AQ112" s="14" t="s">
        <v>51</v>
      </c>
    </row>
    <row r="113" spans="1:43" s="11" customFormat="1" x14ac:dyDescent="0.2">
      <c r="A113" s="13" t="s">
        <v>492</v>
      </c>
      <c r="B113" s="11" t="s">
        <v>493</v>
      </c>
      <c r="C113" s="11" t="s">
        <v>494</v>
      </c>
      <c r="D113" s="11" t="str">
        <f t="shared" si="6"/>
        <v>Documents\GitHub\Ozon_upload\barcode\бирки имена\new\Термобирки Стас.pdf</v>
      </c>
      <c r="E113" s="10" t="str">
        <f t="shared" si="8"/>
        <v>C:\Users\maxim\Documents\GitHub\Ozon_upload\DTF_images\names\мальчики\Стас_img.tif</v>
      </c>
      <c r="F113" s="11">
        <v>1</v>
      </c>
      <c r="G113" s="11">
        <v>2</v>
      </c>
      <c r="I113" s="11" t="s">
        <v>495</v>
      </c>
      <c r="K113" s="11" t="s">
        <v>48</v>
      </c>
      <c r="AB113" s="13" t="s">
        <v>50</v>
      </c>
      <c r="AM113" s="11">
        <v>16</v>
      </c>
      <c r="AN113" s="11">
        <v>180</v>
      </c>
      <c r="AO113" s="11">
        <v>1</v>
      </c>
      <c r="AP113" s="11">
        <v>250</v>
      </c>
      <c r="AQ113" s="14" t="s">
        <v>51</v>
      </c>
    </row>
    <row r="114" spans="1:43" s="11" customFormat="1" x14ac:dyDescent="0.2">
      <c r="A114" s="13" t="s">
        <v>496</v>
      </c>
      <c r="B114" s="11" t="s">
        <v>497</v>
      </c>
      <c r="C114" s="11" t="s">
        <v>498</v>
      </c>
      <c r="D114" s="11" t="str">
        <f t="shared" si="6"/>
        <v>Documents\GitHub\Ozon_upload\barcode\бирки имена\new\Термобирки Артур.pdf</v>
      </c>
      <c r="E114" s="10" t="str">
        <f t="shared" si="8"/>
        <v>C:\Users\maxim\Documents\GitHub\Ozon_upload\DTF_images\names\мальчики\Артур_img.tif</v>
      </c>
      <c r="F114" s="11">
        <v>1</v>
      </c>
      <c r="G114" s="11">
        <v>2</v>
      </c>
      <c r="I114" s="11" t="s">
        <v>499</v>
      </c>
      <c r="K114" s="11" t="s">
        <v>48</v>
      </c>
      <c r="AB114" s="13" t="s">
        <v>50</v>
      </c>
      <c r="AM114" s="11">
        <v>16</v>
      </c>
      <c r="AN114" s="11">
        <v>180</v>
      </c>
      <c r="AO114" s="11">
        <v>1</v>
      </c>
      <c r="AP114" s="11">
        <v>250</v>
      </c>
      <c r="AQ114" s="14" t="s">
        <v>51</v>
      </c>
    </row>
    <row r="115" spans="1:43" s="11" customFormat="1" x14ac:dyDescent="0.2">
      <c r="A115" s="13" t="s">
        <v>500</v>
      </c>
      <c r="B115" s="11" t="s">
        <v>501</v>
      </c>
      <c r="C115" s="11" t="s">
        <v>502</v>
      </c>
      <c r="D115" s="11" t="str">
        <f t="shared" si="6"/>
        <v>Documents\GitHub\Ozon_upload\barcode\бирки имена\new\Термобирки Павел.pdf</v>
      </c>
      <c r="E115" s="10" t="str">
        <f t="shared" si="8"/>
        <v>C:\Users\maxim\Documents\GitHub\Ozon_upload\DTF_images\names\мальчики\Павел_img.tif</v>
      </c>
      <c r="F115" s="11">
        <v>1</v>
      </c>
      <c r="G115" s="11">
        <v>2</v>
      </c>
      <c r="I115" s="11" t="s">
        <v>503</v>
      </c>
      <c r="K115" s="11" t="s">
        <v>48</v>
      </c>
      <c r="AB115" s="13" t="s">
        <v>50</v>
      </c>
      <c r="AM115" s="11">
        <v>16</v>
      </c>
      <c r="AN115" s="11">
        <v>180</v>
      </c>
      <c r="AO115" s="11">
        <v>1</v>
      </c>
      <c r="AP115" s="11">
        <v>250</v>
      </c>
      <c r="AQ115" s="14" t="s">
        <v>51</v>
      </c>
    </row>
    <row r="116" spans="1:43" x14ac:dyDescent="0.2">
      <c r="A116" s="9" t="s">
        <v>504</v>
      </c>
      <c r="B116" s="1" t="s">
        <v>505</v>
      </c>
      <c r="D116" s="1" t="str">
        <f t="shared" ref="D116:D147" si="9">CONCATENATE("Documents\GitHub\Ozon_upload\barcode\punky monkey\", A116, ".pdf")</f>
        <v>Documents\GitHub\Ozon_upload\barcode\punky monkey\Термобирки Дисней мальчики.pdf</v>
      </c>
      <c r="E116" s="15" t="str">
        <f t="shared" ref="E116:E130" si="10">CONCATENATE("C:\Users\maxim\Documents\GitHub\Ozon_upload\DTF_images\birki\",A116,"_img.tif")</f>
        <v>C:\Users\maxim\Documents\GitHub\Ozon_upload\DTF_images\birki\Термобирки Дисней мальчики_img.tif</v>
      </c>
      <c r="F116" s="1">
        <v>1</v>
      </c>
      <c r="G116" s="1">
        <v>1</v>
      </c>
      <c r="I116" s="1" t="s">
        <v>506</v>
      </c>
      <c r="K116" s="1" t="s">
        <v>48</v>
      </c>
      <c r="AM116" s="1">
        <v>16</v>
      </c>
      <c r="AN116" s="1">
        <v>180</v>
      </c>
      <c r="AO116" s="1">
        <v>1</v>
      </c>
      <c r="AP116" s="1">
        <v>250</v>
      </c>
      <c r="AQ116" s="2" t="s">
        <v>507</v>
      </c>
    </row>
    <row r="117" spans="1:43" x14ac:dyDescent="0.2">
      <c r="A117" s="9" t="s">
        <v>508</v>
      </c>
      <c r="B117" s="1" t="s">
        <v>509</v>
      </c>
      <c r="D117" s="1" t="str">
        <f t="shared" si="9"/>
        <v>Documents\GitHub\Ozon_upload\barcode\punky monkey\Термобирки Дисней девочки.pdf</v>
      </c>
      <c r="E117" s="15" t="str">
        <f t="shared" si="10"/>
        <v>C:\Users\maxim\Documents\GitHub\Ozon_upload\DTF_images\birki\Термобирки Дисней девочки_img.tif</v>
      </c>
      <c r="F117" s="1">
        <v>1</v>
      </c>
      <c r="G117" s="1">
        <v>1</v>
      </c>
      <c r="I117" s="1" t="s">
        <v>510</v>
      </c>
      <c r="K117" s="1" t="s">
        <v>48</v>
      </c>
      <c r="AM117" s="1">
        <v>16</v>
      </c>
      <c r="AN117" s="1">
        <v>180</v>
      </c>
      <c r="AO117" s="1">
        <v>1</v>
      </c>
      <c r="AP117" s="1">
        <v>250</v>
      </c>
      <c r="AQ117" s="2" t="s">
        <v>507</v>
      </c>
    </row>
    <row r="118" spans="1:43" x14ac:dyDescent="0.2">
      <c r="A118" s="9" t="s">
        <v>511</v>
      </c>
      <c r="B118" s="1" t="s">
        <v>512</v>
      </c>
      <c r="D118" s="1" t="str">
        <f t="shared" si="9"/>
        <v>Documents\GitHub\Ozon_upload\barcode\punky monkey\Термобирки Спанч боб, Соник ежик.pdf</v>
      </c>
      <c r="E118" s="15" t="str">
        <f t="shared" si="10"/>
        <v>C:\Users\maxim\Documents\GitHub\Ozon_upload\DTF_images\birki\Термобирки Спанч боб, Соник ежик_img.tif</v>
      </c>
      <c r="F118" s="1">
        <v>1</v>
      </c>
      <c r="G118" s="1">
        <v>1</v>
      </c>
      <c r="I118" s="1" t="s">
        <v>513</v>
      </c>
      <c r="K118" s="1" t="s">
        <v>48</v>
      </c>
      <c r="AM118" s="1">
        <v>16</v>
      </c>
      <c r="AN118" s="1">
        <v>180</v>
      </c>
      <c r="AO118" s="1">
        <v>1</v>
      </c>
      <c r="AP118" s="1">
        <v>250</v>
      </c>
      <c r="AQ118" s="2" t="s">
        <v>507</v>
      </c>
    </row>
    <row r="119" spans="1:43" x14ac:dyDescent="0.2">
      <c r="A119" s="9" t="s">
        <v>514</v>
      </c>
      <c r="B119" s="1" t="s">
        <v>515</v>
      </c>
      <c r="D119" s="1" t="str">
        <f t="shared" si="9"/>
        <v>Documents\GitHub\Ozon_upload\barcode\punky monkey\Термобирки Котята.pdf</v>
      </c>
      <c r="E119" s="15" t="str">
        <f t="shared" si="10"/>
        <v>C:\Users\maxim\Documents\GitHub\Ozon_upload\DTF_images\birki\Термобирки Котята_img.tif</v>
      </c>
      <c r="F119" s="1">
        <v>1</v>
      </c>
      <c r="G119" s="1">
        <v>1</v>
      </c>
      <c r="I119" s="1" t="s">
        <v>516</v>
      </c>
      <c r="K119" s="1" t="s">
        <v>48</v>
      </c>
      <c r="AM119" s="1">
        <v>16</v>
      </c>
      <c r="AN119" s="1">
        <v>180</v>
      </c>
      <c r="AO119" s="1">
        <v>1</v>
      </c>
      <c r="AP119" s="1">
        <v>250</v>
      </c>
      <c r="AQ119" s="2" t="s">
        <v>507</v>
      </c>
    </row>
    <row r="120" spans="1:43" x14ac:dyDescent="0.2">
      <c r="A120" s="9" t="s">
        <v>517</v>
      </c>
      <c r="B120" s="1" t="s">
        <v>518</v>
      </c>
      <c r="D120" s="1" t="str">
        <f t="shared" si="9"/>
        <v>Documents\GitHub\Ozon_upload\barcode\punky monkey\Термобирки Человек-Паук.pdf</v>
      </c>
      <c r="E120" s="15" t="str">
        <f t="shared" si="10"/>
        <v>C:\Users\maxim\Documents\GitHub\Ozon_upload\DTF_images\birki\Термобирки Человек-Паук_img.tif</v>
      </c>
      <c r="F120" s="1">
        <v>1</v>
      </c>
      <c r="G120" s="1">
        <v>1</v>
      </c>
      <c r="I120" s="1" t="s">
        <v>519</v>
      </c>
      <c r="K120" s="1" t="s">
        <v>48</v>
      </c>
      <c r="AM120" s="1">
        <v>16</v>
      </c>
      <c r="AN120" s="1">
        <v>180</v>
      </c>
      <c r="AO120" s="1">
        <v>1</v>
      </c>
      <c r="AP120" s="1">
        <v>250</v>
      </c>
      <c r="AQ120" s="2" t="s">
        <v>507</v>
      </c>
    </row>
    <row r="121" spans="1:43" x14ac:dyDescent="0.2">
      <c r="A121" s="9" t="s">
        <v>520</v>
      </c>
      <c r="B121" s="1" t="s">
        <v>521</v>
      </c>
      <c r="D121" s="1" t="str">
        <f t="shared" si="9"/>
        <v>Documents\GitHub\Ozon_upload\barcode\punky monkey\Термобирки Щенячий патруль.pdf</v>
      </c>
      <c r="E121" s="15" t="str">
        <f t="shared" si="10"/>
        <v>C:\Users\maxim\Documents\GitHub\Ozon_upload\DTF_images\birki\Термобирки Щенячий патруль_img.tif</v>
      </c>
      <c r="F121" s="1">
        <v>1</v>
      </c>
      <c r="G121" s="1">
        <v>1</v>
      </c>
      <c r="I121" s="1" t="s">
        <v>522</v>
      </c>
      <c r="K121" s="1" t="s">
        <v>48</v>
      </c>
      <c r="AM121" s="1">
        <v>16</v>
      </c>
      <c r="AN121" s="1">
        <v>180</v>
      </c>
      <c r="AO121" s="1">
        <v>1</v>
      </c>
      <c r="AP121" s="1">
        <v>250</v>
      </c>
      <c r="AQ121" s="2" t="s">
        <v>507</v>
      </c>
    </row>
    <row r="122" spans="1:43" x14ac:dyDescent="0.2">
      <c r="A122" s="9" t="s">
        <v>523</v>
      </c>
      <c r="B122" s="1" t="s">
        <v>524</v>
      </c>
      <c r="D122" s="1" t="str">
        <f t="shared" si="9"/>
        <v>Documents\GitHub\Ozon_upload\barcode\punky monkey\Термобирки Майнкрафт.pdf</v>
      </c>
      <c r="E122" s="15" t="str">
        <f t="shared" si="10"/>
        <v>C:\Users\maxim\Documents\GitHub\Ozon_upload\DTF_images\birki\Термобирки Майнкрафт_img.tif</v>
      </c>
      <c r="F122" s="1">
        <v>1</v>
      </c>
      <c r="G122" s="1">
        <v>1</v>
      </c>
      <c r="I122" s="1" t="s">
        <v>525</v>
      </c>
      <c r="K122" s="1" t="s">
        <v>48</v>
      </c>
      <c r="AM122" s="1">
        <v>16</v>
      </c>
      <c r="AN122" s="1">
        <v>180</v>
      </c>
      <c r="AO122" s="1">
        <v>1</v>
      </c>
      <c r="AP122" s="1">
        <v>250</v>
      </c>
      <c r="AQ122" s="2" t="s">
        <v>507</v>
      </c>
    </row>
    <row r="123" spans="1:43" x14ac:dyDescent="0.2">
      <c r="A123" s="9" t="s">
        <v>526</v>
      </c>
      <c r="B123" s="1" t="s">
        <v>527</v>
      </c>
      <c r="C123" s="1" t="s">
        <v>528</v>
      </c>
      <c r="D123" s="1" t="str">
        <f t="shared" si="9"/>
        <v>Documents\GitHub\Ozon_upload\barcode\punky monkey\Термобирки белые 30шт.pdf</v>
      </c>
      <c r="E123" s="15" t="str">
        <f>CONCATENATE("C:\Users\maxim\Documents\GitHub\Ozon_upload\DTF_images\birki\",C123,".tif")</f>
        <v>C:\Users\maxim\Documents\GitHub\Ozon_upload\DTF_images\birki\termoprints_white_a5.tif</v>
      </c>
      <c r="F123" s="1">
        <v>1</v>
      </c>
      <c r="G123" s="1">
        <v>2</v>
      </c>
      <c r="I123" s="1" t="s">
        <v>529</v>
      </c>
      <c r="K123" s="1" t="s">
        <v>48</v>
      </c>
      <c r="AM123" s="1">
        <v>16</v>
      </c>
      <c r="AN123" s="1">
        <v>180</v>
      </c>
      <c r="AO123" s="1">
        <v>1</v>
      </c>
      <c r="AP123" s="1">
        <v>250</v>
      </c>
      <c r="AQ123" s="2" t="s">
        <v>507</v>
      </c>
    </row>
    <row r="124" spans="1:43" x14ac:dyDescent="0.2">
      <c r="A124" s="9" t="s">
        <v>530</v>
      </c>
      <c r="B124" s="1" t="s">
        <v>531</v>
      </c>
      <c r="D124" s="1" t="str">
        <f t="shared" si="9"/>
        <v>Documents\GitHub\Ozon_upload\barcode\punky monkey\Термобирки Хаги Ваги.pdf</v>
      </c>
      <c r="E124" s="15" t="str">
        <f t="shared" si="10"/>
        <v>C:\Users\maxim\Documents\GitHub\Ozon_upload\DTF_images\birki\Термобирки Хаги Ваги_img.tif</v>
      </c>
      <c r="F124" s="1">
        <v>1</v>
      </c>
      <c r="G124" s="1">
        <v>1</v>
      </c>
      <c r="I124" s="1" t="s">
        <v>532</v>
      </c>
      <c r="K124" s="1" t="s">
        <v>48</v>
      </c>
      <c r="AM124" s="1">
        <v>16</v>
      </c>
      <c r="AN124" s="1">
        <v>180</v>
      </c>
      <c r="AO124" s="1">
        <v>1</v>
      </c>
      <c r="AP124" s="1">
        <v>250</v>
      </c>
      <c r="AQ124" s="2" t="s">
        <v>507</v>
      </c>
    </row>
    <row r="125" spans="1:43" x14ac:dyDescent="0.2">
      <c r="A125" s="9" t="s">
        <v>533</v>
      </c>
      <c r="B125" s="1" t="s">
        <v>534</v>
      </c>
      <c r="D125" s="1" t="str">
        <f t="shared" si="9"/>
        <v>Documents\GitHub\Ozon_upload\barcode\punky monkey\Термобирки Транспорт.pdf</v>
      </c>
      <c r="E125" s="15" t="str">
        <f t="shared" si="10"/>
        <v>C:\Users\maxim\Documents\GitHub\Ozon_upload\DTF_images\birki\Термобирки Транспорт_img.tif</v>
      </c>
      <c r="F125" s="1">
        <v>1</v>
      </c>
      <c r="G125" s="1">
        <v>1</v>
      </c>
      <c r="I125" s="1" t="s">
        <v>535</v>
      </c>
      <c r="K125" s="1" t="s">
        <v>48</v>
      </c>
      <c r="AM125" s="1">
        <v>16</v>
      </c>
      <c r="AN125" s="1">
        <v>180</v>
      </c>
      <c r="AO125" s="1">
        <v>1</v>
      </c>
      <c r="AP125" s="1">
        <v>250</v>
      </c>
      <c r="AQ125" s="2" t="s">
        <v>507</v>
      </c>
    </row>
    <row r="126" spans="1:43" x14ac:dyDescent="0.2">
      <c r="A126" s="9" t="s">
        <v>536</v>
      </c>
      <c r="B126" s="1" t="s">
        <v>537</v>
      </c>
      <c r="D126" s="1" t="str">
        <f t="shared" si="9"/>
        <v>Documents\GitHub\Ozon_upload\barcode\punky monkey\Термобирки Единороги.pdf</v>
      </c>
      <c r="E126" s="15" t="str">
        <f t="shared" si="10"/>
        <v>C:\Users\maxim\Documents\GitHub\Ozon_upload\DTF_images\birki\Термобирки Единороги_img.tif</v>
      </c>
      <c r="F126" s="1">
        <v>1</v>
      </c>
      <c r="G126" s="1">
        <v>1</v>
      </c>
      <c r="I126" s="1" t="s">
        <v>538</v>
      </c>
      <c r="K126" s="1" t="s">
        <v>48</v>
      </c>
      <c r="AM126" s="1">
        <v>16</v>
      </c>
      <c r="AN126" s="1">
        <v>180</v>
      </c>
      <c r="AO126" s="1">
        <v>1</v>
      </c>
      <c r="AP126" s="1">
        <v>250</v>
      </c>
      <c r="AQ126" s="2" t="s">
        <v>507</v>
      </c>
    </row>
    <row r="127" spans="1:43" x14ac:dyDescent="0.2">
      <c r="A127" s="9" t="s">
        <v>539</v>
      </c>
      <c r="B127" s="1" t="s">
        <v>540</v>
      </c>
      <c r="D127" s="1" t="str">
        <f t="shared" si="9"/>
        <v>Documents\GitHub\Ozon_upload\barcode\punky monkey\Термобирки Пиксар Дисней.pdf</v>
      </c>
      <c r="E127" s="15" t="str">
        <f t="shared" si="10"/>
        <v>C:\Users\maxim\Documents\GitHub\Ozon_upload\DTF_images\birki\Термобирки Пиксар Дисней_img.tif</v>
      </c>
      <c r="F127" s="1">
        <v>1</v>
      </c>
      <c r="G127" s="1">
        <v>1</v>
      </c>
      <c r="I127" s="1" t="s">
        <v>541</v>
      </c>
      <c r="K127" s="1" t="s">
        <v>48</v>
      </c>
      <c r="AM127" s="1">
        <v>16</v>
      </c>
      <c r="AN127" s="1">
        <v>180</v>
      </c>
      <c r="AO127" s="1">
        <v>1</v>
      </c>
      <c r="AP127" s="1">
        <v>250</v>
      </c>
      <c r="AQ127" s="2" t="s">
        <v>507</v>
      </c>
    </row>
    <row r="128" spans="1:43" x14ac:dyDescent="0.2">
      <c r="A128" s="9" t="s">
        <v>542</v>
      </c>
      <c r="B128" s="1" t="s">
        <v>543</v>
      </c>
      <c r="D128" s="1" t="str">
        <f t="shared" si="9"/>
        <v>Documents\GitHub\Ozon_upload\barcode\punky monkey\Термобирки Гарри Поттер.pdf</v>
      </c>
      <c r="E128" s="15" t="str">
        <f t="shared" si="10"/>
        <v>C:\Users\maxim\Documents\GitHub\Ozon_upload\DTF_images\birki\Термобирки Гарри Поттер_img.tif</v>
      </c>
      <c r="F128" s="1">
        <v>1</v>
      </c>
      <c r="G128" s="1">
        <v>1</v>
      </c>
      <c r="I128" s="1" t="s">
        <v>544</v>
      </c>
      <c r="K128" s="1" t="s">
        <v>48</v>
      </c>
      <c r="AM128" s="1">
        <v>16</v>
      </c>
      <c r="AN128" s="1">
        <v>180</v>
      </c>
      <c r="AO128" s="1">
        <v>1</v>
      </c>
      <c r="AP128" s="1">
        <v>250</v>
      </c>
      <c r="AQ128" s="2" t="s">
        <v>507</v>
      </c>
    </row>
    <row r="129" spans="1:43" x14ac:dyDescent="0.2">
      <c r="A129" s="9" t="s">
        <v>545</v>
      </c>
      <c r="B129" s="1" t="s">
        <v>546</v>
      </c>
      <c r="D129" s="1" t="str">
        <f t="shared" si="9"/>
        <v>Documents\GitHub\Ozon_upload\barcode\punky monkey\Термобирки белые рамка 30шт.pdf</v>
      </c>
      <c r="E129" s="15" t="str">
        <f t="shared" si="10"/>
        <v>C:\Users\maxim\Documents\GitHub\Ozon_upload\DTF_images\birki\Термобирки белые рамка 30шт_img.tif</v>
      </c>
      <c r="F129" s="1">
        <v>1</v>
      </c>
      <c r="G129" s="1">
        <v>1</v>
      </c>
      <c r="I129" s="1" t="s">
        <v>547</v>
      </c>
      <c r="K129" s="1" t="s">
        <v>48</v>
      </c>
      <c r="AM129" s="1">
        <v>16</v>
      </c>
      <c r="AN129" s="1">
        <v>180</v>
      </c>
      <c r="AO129" s="1">
        <v>1</v>
      </c>
      <c r="AP129" s="1">
        <v>250</v>
      </c>
      <c r="AQ129" s="2" t="s">
        <v>507</v>
      </c>
    </row>
    <row r="130" spans="1:43" x14ac:dyDescent="0.2">
      <c r="A130" s="9" t="s">
        <v>548</v>
      </c>
      <c r="B130" s="1" t="s">
        <v>549</v>
      </c>
      <c r="D130" s="1" t="str">
        <f t="shared" si="9"/>
        <v>Documents\GitHub\Ozon_upload\barcode\punky monkey\Термобирки Леди Баг.pdf</v>
      </c>
      <c r="E130" s="15" t="str">
        <f t="shared" si="10"/>
        <v>C:\Users\maxim\Documents\GitHub\Ozon_upload\DTF_images\birki\Термобирки Леди Баг_img.tif</v>
      </c>
      <c r="F130" s="1">
        <v>1</v>
      </c>
      <c r="G130" s="1">
        <v>1</v>
      </c>
      <c r="I130" s="1" t="s">
        <v>550</v>
      </c>
      <c r="K130" s="1" t="s">
        <v>48</v>
      </c>
      <c r="AM130" s="1">
        <v>16</v>
      </c>
      <c r="AN130" s="1">
        <v>180</v>
      </c>
      <c r="AO130" s="1">
        <v>1</v>
      </c>
      <c r="AP130" s="1">
        <v>250</v>
      </c>
      <c r="AQ130" s="2" t="s">
        <v>507</v>
      </c>
    </row>
    <row r="131" spans="1:43" x14ac:dyDescent="0.2">
      <c r="A131" s="9" t="s">
        <v>551</v>
      </c>
      <c r="B131" s="1" t="s">
        <v>552</v>
      </c>
      <c r="D131" s="1" t="str">
        <f t="shared" si="9"/>
        <v>Documents\GitHub\Ozon_upload\barcode\punky monkey\Термонаклейка Фея.pdf</v>
      </c>
      <c r="E131" s="15" t="str">
        <f t="shared" ref="E131:E152" si="11">CONCATENATE("C:\Users\maxim\Documents\GitHub\Ozon_upload\DTF_images\max\dtf_a5\",A131,"_img.tif")</f>
        <v>C:\Users\maxim\Documents\GitHub\Ozon_upload\DTF_images\max\dtf_a5\Термонаклейка Фея_img.tif</v>
      </c>
      <c r="F131" s="1">
        <v>1</v>
      </c>
      <c r="G131" s="1">
        <v>2</v>
      </c>
      <c r="I131" s="1" t="s">
        <v>553</v>
      </c>
      <c r="K131" s="1" t="s">
        <v>48</v>
      </c>
      <c r="AM131" s="1">
        <v>16</v>
      </c>
      <c r="AN131" s="1">
        <v>180</v>
      </c>
      <c r="AO131" s="1">
        <v>1</v>
      </c>
      <c r="AP131" s="1">
        <v>250</v>
      </c>
      <c r="AQ131" s="2" t="s">
        <v>554</v>
      </c>
    </row>
    <row r="132" spans="1:43" x14ac:dyDescent="0.2">
      <c r="A132" s="9" t="s">
        <v>555</v>
      </c>
      <c r="B132" s="1" t="s">
        <v>556</v>
      </c>
      <c r="D132" s="1" t="str">
        <f t="shared" si="9"/>
        <v>Documents\GitHub\Ozon_upload\barcode\punky monkey\Термонаклейка Котята. Кот в ванной.pdf</v>
      </c>
      <c r="E132" s="15" t="str">
        <f t="shared" si="11"/>
        <v>C:\Users\maxim\Documents\GitHub\Ozon_upload\DTF_images\max\dtf_a5\Термонаклейка Котята. Кот в ванной_img.tif</v>
      </c>
      <c r="F132" s="1">
        <v>1</v>
      </c>
      <c r="G132" s="1">
        <v>2</v>
      </c>
      <c r="I132" s="1" t="s">
        <v>557</v>
      </c>
      <c r="K132" s="1" t="s">
        <v>48</v>
      </c>
      <c r="AM132" s="1">
        <v>16</v>
      </c>
      <c r="AN132" s="1">
        <v>180</v>
      </c>
      <c r="AO132" s="1">
        <v>1</v>
      </c>
      <c r="AP132" s="1">
        <v>250</v>
      </c>
      <c r="AQ132" s="2" t="s">
        <v>554</v>
      </c>
    </row>
    <row r="133" spans="1:43" x14ac:dyDescent="0.2">
      <c r="A133" s="9" t="s">
        <v>558</v>
      </c>
      <c r="B133" s="1" t="s">
        <v>559</v>
      </c>
      <c r="D133" s="1" t="str">
        <f t="shared" si="9"/>
        <v>Documents\GitHub\Ozon_upload\barcode\punky monkey\Термонаклейка Котята. День рождения.pdf</v>
      </c>
      <c r="E133" s="15" t="str">
        <f t="shared" si="11"/>
        <v>C:\Users\maxim\Documents\GitHub\Ozon_upload\DTF_images\max\dtf_a5\Термонаклейка Котята. День рождения_img.tif</v>
      </c>
      <c r="F133" s="1">
        <v>1</v>
      </c>
      <c r="G133" s="1">
        <v>2</v>
      </c>
      <c r="I133" s="1" t="s">
        <v>560</v>
      </c>
      <c r="K133" s="1" t="s">
        <v>48</v>
      </c>
      <c r="AM133" s="1">
        <v>16</v>
      </c>
      <c r="AN133" s="1">
        <v>180</v>
      </c>
      <c r="AO133" s="1">
        <v>1</v>
      </c>
      <c r="AP133" s="1">
        <v>250</v>
      </c>
      <c r="AQ133" s="2" t="s">
        <v>554</v>
      </c>
    </row>
    <row r="134" spans="1:43" x14ac:dyDescent="0.2">
      <c r="A134" s="9" t="s">
        <v>561</v>
      </c>
      <c r="B134" s="1" t="s">
        <v>562</v>
      </c>
      <c r="D134" s="1" t="str">
        <f t="shared" si="9"/>
        <v>Documents\GitHub\Ozon_upload\barcode\punky monkey\Термонаклейка Котята. Кот с пиццей.pdf</v>
      </c>
      <c r="E134" s="15" t="str">
        <f t="shared" si="11"/>
        <v>C:\Users\maxim\Documents\GitHub\Ozon_upload\DTF_images\max\dtf_a5\Термонаклейка Котята. Кот с пиццей_img.tif</v>
      </c>
      <c r="F134" s="1">
        <v>1</v>
      </c>
      <c r="G134" s="1">
        <v>2</v>
      </c>
      <c r="I134" s="1" t="s">
        <v>563</v>
      </c>
      <c r="K134" s="1" t="s">
        <v>48</v>
      </c>
      <c r="AM134" s="1">
        <v>16</v>
      </c>
      <c r="AN134" s="1">
        <v>180</v>
      </c>
      <c r="AO134" s="1">
        <v>1</v>
      </c>
      <c r="AP134" s="1">
        <v>250</v>
      </c>
      <c r="AQ134" s="2" t="s">
        <v>554</v>
      </c>
    </row>
    <row r="135" spans="1:43" x14ac:dyDescent="0.2">
      <c r="A135" s="9" t="s">
        <v>564</v>
      </c>
      <c r="B135" s="1" t="s">
        <v>565</v>
      </c>
      <c r="D135" s="1" t="str">
        <f t="shared" si="9"/>
        <v>Documents\GitHub\Ozon_upload\barcode\punky monkey\Термонаклейка Девочки.pdf</v>
      </c>
      <c r="E135" s="15" t="str">
        <f t="shared" si="11"/>
        <v>C:\Users\maxim\Documents\GitHub\Ozon_upload\DTF_images\max\dtf_a5\Термонаклейка Девочки_img.tif</v>
      </c>
      <c r="F135" s="1">
        <v>1</v>
      </c>
      <c r="G135" s="1">
        <v>2</v>
      </c>
      <c r="I135" s="1" t="s">
        <v>566</v>
      </c>
      <c r="K135" s="1" t="s">
        <v>48</v>
      </c>
      <c r="AM135" s="1">
        <v>16</v>
      </c>
      <c r="AN135" s="1">
        <v>180</v>
      </c>
      <c r="AO135" s="1">
        <v>1</v>
      </c>
      <c r="AP135" s="1">
        <v>250</v>
      </c>
      <c r="AQ135" s="2" t="s">
        <v>554</v>
      </c>
    </row>
    <row r="136" spans="1:43" x14ac:dyDescent="0.2">
      <c r="A136" s="9" t="s">
        <v>567</v>
      </c>
      <c r="B136" s="1" t="s">
        <v>568</v>
      </c>
      <c r="D136" s="1" t="str">
        <f t="shared" si="9"/>
        <v>Documents\GitHub\Ozon_upload\barcode\punky monkey\Термонаклейка Ежик праздник.pdf</v>
      </c>
      <c r="E136" s="15" t="str">
        <f t="shared" si="11"/>
        <v>C:\Users\maxim\Documents\GitHub\Ozon_upload\DTF_images\max\dtf_a5\Термонаклейка Ежик праздник_img.tif</v>
      </c>
      <c r="F136" s="1">
        <v>1</v>
      </c>
      <c r="G136" s="1">
        <v>2</v>
      </c>
      <c r="I136" s="1" t="s">
        <v>569</v>
      </c>
      <c r="K136" s="1" t="s">
        <v>48</v>
      </c>
      <c r="AM136" s="1">
        <v>16</v>
      </c>
      <c r="AN136" s="1">
        <v>180</v>
      </c>
      <c r="AO136" s="1">
        <v>1</v>
      </c>
      <c r="AP136" s="1">
        <v>250</v>
      </c>
      <c r="AQ136" s="2" t="s">
        <v>554</v>
      </c>
    </row>
    <row r="137" spans="1:43" x14ac:dyDescent="0.2">
      <c r="A137" s="9" t="s">
        <v>570</v>
      </c>
      <c r="B137" s="1" t="s">
        <v>571</v>
      </c>
      <c r="D137" s="1" t="str">
        <f t="shared" si="9"/>
        <v>Documents\GitHub\Ozon_upload\barcode\punky monkey\Термонаклейка Кот единорог.pdf</v>
      </c>
      <c r="E137" s="15" t="str">
        <f t="shared" si="11"/>
        <v>C:\Users\maxim\Documents\GitHub\Ozon_upload\DTF_images\max\dtf_a5\Термонаклейка Кот единорог_img.tif</v>
      </c>
      <c r="F137" s="1">
        <v>1</v>
      </c>
      <c r="G137" s="1">
        <v>2</v>
      </c>
      <c r="I137" s="1" t="s">
        <v>572</v>
      </c>
      <c r="K137" s="1" t="s">
        <v>48</v>
      </c>
      <c r="AM137" s="1">
        <v>16</v>
      </c>
      <c r="AN137" s="1">
        <v>180</v>
      </c>
      <c r="AO137" s="1">
        <v>1</v>
      </c>
      <c r="AP137" s="1">
        <v>250</v>
      </c>
      <c r="AQ137" s="2" t="s">
        <v>554</v>
      </c>
    </row>
    <row r="138" spans="1:43" x14ac:dyDescent="0.2">
      <c r="A138" s="9" t="s">
        <v>573</v>
      </c>
      <c r="B138" s="1" t="s">
        <v>574</v>
      </c>
      <c r="D138" s="1" t="str">
        <f t="shared" si="9"/>
        <v>Documents\GitHub\Ozon_upload\barcode\punky monkey\Термонаклейка Динозавры.pdf</v>
      </c>
      <c r="E138" s="15" t="str">
        <f t="shared" si="11"/>
        <v>C:\Users\maxim\Documents\GitHub\Ozon_upload\DTF_images\max\dtf_a5\Термонаклейка Динозавры_img.tif</v>
      </c>
      <c r="F138" s="1">
        <v>0</v>
      </c>
      <c r="G138" s="1">
        <v>2</v>
      </c>
      <c r="I138" s="1" t="s">
        <v>575</v>
      </c>
      <c r="K138" s="1" t="s">
        <v>48</v>
      </c>
      <c r="AM138" s="1">
        <v>16</v>
      </c>
      <c r="AN138" s="1">
        <v>180</v>
      </c>
      <c r="AO138" s="1">
        <v>1</v>
      </c>
      <c r="AP138" s="1">
        <v>250</v>
      </c>
      <c r="AQ138" s="2" t="s">
        <v>554</v>
      </c>
    </row>
    <row r="139" spans="1:43" x14ac:dyDescent="0.2">
      <c r="A139" s="9" t="s">
        <v>576</v>
      </c>
      <c r="B139" s="1" t="s">
        <v>577</v>
      </c>
      <c r="D139" s="1" t="str">
        <f t="shared" si="9"/>
        <v>Documents\GitHub\Ozon_upload\barcode\punky monkey\Термонаклейка Зайчики.pdf</v>
      </c>
      <c r="E139" s="15" t="str">
        <f t="shared" si="11"/>
        <v>C:\Users\maxim\Documents\GitHub\Ozon_upload\DTF_images\max\dtf_a5\Термонаклейка Зайчики_img.tif</v>
      </c>
      <c r="F139" s="1">
        <v>1</v>
      </c>
      <c r="G139" s="1">
        <v>2</v>
      </c>
      <c r="I139" s="1" t="s">
        <v>578</v>
      </c>
      <c r="K139" s="1" t="s">
        <v>48</v>
      </c>
      <c r="AM139" s="1">
        <v>16</v>
      </c>
      <c r="AN139" s="1">
        <v>180</v>
      </c>
      <c r="AO139" s="1">
        <v>1</v>
      </c>
      <c r="AP139" s="1">
        <v>250</v>
      </c>
      <c r="AQ139" s="2" t="s">
        <v>554</v>
      </c>
    </row>
    <row r="140" spans="1:43" x14ac:dyDescent="0.2">
      <c r="A140" s="9" t="s">
        <v>579</v>
      </c>
      <c r="B140" s="1" t="s">
        <v>580</v>
      </c>
      <c r="D140" s="1" t="str">
        <f t="shared" si="9"/>
        <v>Documents\GitHub\Ozon_upload\barcode\punky monkey\Термонаклейка Мишка с сердечками.pdf</v>
      </c>
      <c r="E140" s="15" t="str">
        <f t="shared" si="11"/>
        <v>C:\Users\maxim\Documents\GitHub\Ozon_upload\DTF_images\max\dtf_a5\Термонаклейка Мишка с сердечками_img.tif</v>
      </c>
      <c r="F140" s="1">
        <v>1</v>
      </c>
      <c r="G140" s="1">
        <v>2</v>
      </c>
      <c r="I140" s="1" t="s">
        <v>581</v>
      </c>
      <c r="K140" s="1" t="s">
        <v>48</v>
      </c>
      <c r="AM140" s="1">
        <v>16</v>
      </c>
      <c r="AN140" s="1">
        <v>180</v>
      </c>
      <c r="AO140" s="1">
        <v>1</v>
      </c>
      <c r="AP140" s="1">
        <v>250</v>
      </c>
      <c r="AQ140" s="2" t="s">
        <v>554</v>
      </c>
    </row>
    <row r="141" spans="1:43" x14ac:dyDescent="0.2">
      <c r="A141" s="9" t="s">
        <v>582</v>
      </c>
      <c r="B141" s="1" t="s">
        <v>583</v>
      </c>
      <c r="D141" s="1" t="str">
        <f t="shared" si="9"/>
        <v>Documents\GitHub\Ozon_upload\barcode\punky monkey\Термонаклейка Собачки.pdf</v>
      </c>
      <c r="E141" s="15" t="str">
        <f t="shared" si="11"/>
        <v>C:\Users\maxim\Documents\GitHub\Ozon_upload\DTF_images\max\dtf_a5\Термонаклейка Собачки_img.tif</v>
      </c>
      <c r="F141" s="1">
        <v>1</v>
      </c>
      <c r="G141" s="1">
        <v>2</v>
      </c>
      <c r="I141" s="1" t="s">
        <v>584</v>
      </c>
      <c r="K141" s="1" t="s">
        <v>48</v>
      </c>
      <c r="AM141" s="1">
        <v>16</v>
      </c>
      <c r="AN141" s="1">
        <v>180</v>
      </c>
      <c r="AO141" s="1">
        <v>1</v>
      </c>
      <c r="AP141" s="1">
        <v>250</v>
      </c>
      <c r="AQ141" s="2" t="s">
        <v>554</v>
      </c>
    </row>
    <row r="142" spans="1:43" x14ac:dyDescent="0.2">
      <c r="A142" s="9" t="s">
        <v>585</v>
      </c>
      <c r="B142" s="1" t="s">
        <v>586</v>
      </c>
      <c r="D142" s="1" t="str">
        <f t="shared" si="9"/>
        <v>Documents\GitHub\Ozon_upload\barcode\punky monkey\Термонаклейка Единорог и балерина.pdf</v>
      </c>
      <c r="E142" s="15" t="str">
        <f t="shared" si="11"/>
        <v>C:\Users\maxim\Documents\GitHub\Ozon_upload\DTF_images\max\dtf_a5\Термонаклейка Единорог и балерина_img.tif</v>
      </c>
      <c r="F142" s="1">
        <v>1</v>
      </c>
      <c r="G142" s="1">
        <v>2</v>
      </c>
      <c r="I142" s="1" t="s">
        <v>587</v>
      </c>
      <c r="K142" s="1" t="s">
        <v>48</v>
      </c>
      <c r="AM142" s="1">
        <v>16</v>
      </c>
      <c r="AN142" s="1">
        <v>180</v>
      </c>
      <c r="AO142" s="1">
        <v>1</v>
      </c>
      <c r="AP142" s="1">
        <v>250</v>
      </c>
      <c r="AQ142" s="2" t="s">
        <v>554</v>
      </c>
    </row>
    <row r="143" spans="1:43" x14ac:dyDescent="0.2">
      <c r="A143" s="9" t="s">
        <v>588</v>
      </c>
      <c r="B143" s="1" t="s">
        <v>589</v>
      </c>
      <c r="D143" s="1" t="str">
        <f t="shared" si="9"/>
        <v>Documents\GitHub\Ozon_upload\barcode\punky monkey\Термонаклейка Бабочки.pdf</v>
      </c>
      <c r="E143" s="15" t="str">
        <f t="shared" si="11"/>
        <v>C:\Users\maxim\Documents\GitHub\Ozon_upload\DTF_images\max\dtf_a5\Термонаклейка Бабочки_img.tif</v>
      </c>
      <c r="F143" s="1">
        <v>0</v>
      </c>
      <c r="G143" s="1">
        <v>2</v>
      </c>
      <c r="I143" s="1" t="s">
        <v>590</v>
      </c>
      <c r="K143" s="1" t="s">
        <v>48</v>
      </c>
      <c r="AM143" s="1">
        <v>16</v>
      </c>
      <c r="AN143" s="1">
        <v>180</v>
      </c>
      <c r="AO143" s="1">
        <v>1</v>
      </c>
      <c r="AP143" s="1">
        <v>250</v>
      </c>
      <c r="AQ143" s="2" t="s">
        <v>554</v>
      </c>
    </row>
    <row r="144" spans="1:43" x14ac:dyDescent="0.2">
      <c r="A144" s="9" t="s">
        <v>591</v>
      </c>
      <c r="B144" s="1" t="s">
        <v>592</v>
      </c>
      <c r="D144" s="1" t="str">
        <f t="shared" si="9"/>
        <v>Documents\GitHub\Ozon_upload\barcode\punky monkey\Термонаклейка Мишка моряк.pdf</v>
      </c>
      <c r="E144" s="15" t="str">
        <f t="shared" si="11"/>
        <v>C:\Users\maxim\Documents\GitHub\Ozon_upload\DTF_images\max\dtf_a5\Термонаклейка Мишка моряк_img.tif</v>
      </c>
      <c r="F144" s="1">
        <v>1</v>
      </c>
      <c r="G144" s="1">
        <v>2</v>
      </c>
      <c r="I144" s="1" t="s">
        <v>593</v>
      </c>
      <c r="K144" s="1" t="s">
        <v>48</v>
      </c>
      <c r="AM144" s="1">
        <v>16</v>
      </c>
      <c r="AN144" s="1">
        <v>180</v>
      </c>
      <c r="AO144" s="1">
        <v>1</v>
      </c>
      <c r="AP144" s="1">
        <v>250</v>
      </c>
      <c r="AQ144" s="2" t="s">
        <v>554</v>
      </c>
    </row>
    <row r="145" spans="1:43" x14ac:dyDescent="0.2">
      <c r="A145" s="9" t="s">
        <v>594</v>
      </c>
      <c r="B145" s="1" t="s">
        <v>595</v>
      </c>
      <c r="D145" s="1" t="str">
        <f t="shared" si="9"/>
        <v>Documents\GitHub\Ozon_upload\barcode\punky monkey\Термонаклейка Единороги набор.pdf</v>
      </c>
      <c r="E145" s="15" t="str">
        <f t="shared" si="11"/>
        <v>C:\Users\maxim\Documents\GitHub\Ozon_upload\DTF_images\max\dtf_a5\Термонаклейка Единороги набор_img.tif</v>
      </c>
      <c r="F145" s="1">
        <v>1</v>
      </c>
      <c r="G145" s="1">
        <v>2</v>
      </c>
      <c r="I145" s="1" t="s">
        <v>596</v>
      </c>
      <c r="K145" s="1" t="s">
        <v>48</v>
      </c>
      <c r="AM145" s="1">
        <v>16</v>
      </c>
      <c r="AN145" s="1">
        <v>180</v>
      </c>
      <c r="AO145" s="1">
        <v>1</v>
      </c>
      <c r="AP145" s="1">
        <v>250</v>
      </c>
      <c r="AQ145" s="2" t="s">
        <v>554</v>
      </c>
    </row>
    <row r="146" spans="1:43" x14ac:dyDescent="0.2">
      <c r="A146" s="9" t="s">
        <v>597</v>
      </c>
      <c r="B146" s="1" t="s">
        <v>598</v>
      </c>
      <c r="D146" s="1" t="str">
        <f t="shared" si="9"/>
        <v>Documents\GitHub\Ozon_upload\barcode\punky monkey\Термонаклейка Мишка пилот.pdf</v>
      </c>
      <c r="E146" s="15" t="str">
        <f t="shared" si="11"/>
        <v>C:\Users\maxim\Documents\GitHub\Ozon_upload\DTF_images\max\dtf_a5\Термонаклейка Мишка пилот_img.tif</v>
      </c>
      <c r="F146" s="1">
        <v>1</v>
      </c>
      <c r="G146" s="1">
        <v>2</v>
      </c>
      <c r="I146" s="1" t="s">
        <v>599</v>
      </c>
      <c r="K146" s="1" t="s">
        <v>48</v>
      </c>
      <c r="AM146" s="1">
        <v>16</v>
      </c>
      <c r="AN146" s="1">
        <v>180</v>
      </c>
      <c r="AO146" s="1">
        <v>1</v>
      </c>
      <c r="AP146" s="1">
        <v>250</v>
      </c>
      <c r="AQ146" s="2" t="s">
        <v>554</v>
      </c>
    </row>
    <row r="147" spans="1:43" x14ac:dyDescent="0.2">
      <c r="A147" s="9" t="s">
        <v>600</v>
      </c>
      <c r="B147" s="1" t="s">
        <v>601</v>
      </c>
      <c r="C147" s="1" t="s">
        <v>602</v>
      </c>
      <c r="D147" s="1" t="str">
        <f t="shared" si="9"/>
        <v>Documents\GitHub\Ozon_upload\barcode\punky monkey\Термонаклейка Минни Маус улыбка.pdf</v>
      </c>
      <c r="E147" s="15" t="str">
        <f t="shared" si="11"/>
        <v>C:\Users\maxim\Documents\GitHub\Ozon_upload\DTF_images\max\dtf_a5\Термонаклейка Минни Маус улыбка_img.tif</v>
      </c>
      <c r="F147" s="1">
        <v>0</v>
      </c>
      <c r="G147" s="1">
        <v>2</v>
      </c>
      <c r="I147" s="1" t="s">
        <v>603</v>
      </c>
      <c r="K147" s="1" t="s">
        <v>48</v>
      </c>
      <c r="AM147" s="1">
        <v>16</v>
      </c>
      <c r="AN147" s="1">
        <v>180</v>
      </c>
      <c r="AO147" s="1">
        <v>1</v>
      </c>
      <c r="AP147" s="1">
        <v>250</v>
      </c>
      <c r="AQ147" s="2" t="s">
        <v>554</v>
      </c>
    </row>
    <row r="148" spans="1:43" x14ac:dyDescent="0.2">
      <c r="A148" s="9" t="s">
        <v>604</v>
      </c>
      <c r="B148" s="1" t="s">
        <v>605</v>
      </c>
      <c r="D148" s="1" t="str">
        <f t="shared" ref="D148:D179" si="12">CONCATENATE("Documents\GitHub\Ozon_upload\barcode\punky monkey\", A148, ".pdf")</f>
        <v>Documents\GitHub\Ozon_upload\barcode\punky monkey\Термонаклейка Крокодил серфинг.pdf</v>
      </c>
      <c r="E148" s="15" t="str">
        <f t="shared" si="11"/>
        <v>C:\Users\maxim\Documents\GitHub\Ozon_upload\DTF_images\max\dtf_a5\Термонаклейка Крокодил серфинг_img.tif</v>
      </c>
      <c r="F148" s="1">
        <v>1</v>
      </c>
      <c r="G148" s="1">
        <v>2</v>
      </c>
      <c r="I148" s="1" t="s">
        <v>606</v>
      </c>
      <c r="K148" s="1" t="s">
        <v>48</v>
      </c>
      <c r="AM148" s="1">
        <v>16</v>
      </c>
      <c r="AN148" s="1">
        <v>180</v>
      </c>
      <c r="AO148" s="1">
        <v>1</v>
      </c>
      <c r="AP148" s="1">
        <v>250</v>
      </c>
      <c r="AQ148" s="2" t="s">
        <v>554</v>
      </c>
    </row>
    <row r="149" spans="1:43" x14ac:dyDescent="0.2">
      <c r="A149" s="9" t="s">
        <v>607</v>
      </c>
      <c r="B149" s="1" t="s">
        <v>608</v>
      </c>
      <c r="D149" s="1" t="str">
        <f t="shared" si="12"/>
        <v>Documents\GitHub\Ozon_upload\barcode\punky monkey\Термонаклейка Котята. Кот в кружке.pdf</v>
      </c>
      <c r="E149" s="15" t="str">
        <f t="shared" si="11"/>
        <v>C:\Users\maxim\Documents\GitHub\Ozon_upload\DTF_images\max\dtf_a5\Термонаклейка Котята. Кот в кружке_img.tif</v>
      </c>
      <c r="F149" s="1">
        <v>1</v>
      </c>
      <c r="G149" s="1">
        <v>2</v>
      </c>
      <c r="I149" s="1" t="s">
        <v>609</v>
      </c>
      <c r="K149" s="1" t="s">
        <v>48</v>
      </c>
      <c r="AM149" s="1">
        <v>16</v>
      </c>
      <c r="AN149" s="1">
        <v>180</v>
      </c>
      <c r="AO149" s="1">
        <v>1</v>
      </c>
      <c r="AP149" s="1">
        <v>250</v>
      </c>
      <c r="AQ149" s="2" t="s">
        <v>554</v>
      </c>
    </row>
    <row r="150" spans="1:43" x14ac:dyDescent="0.2">
      <c r="A150" s="9" t="s">
        <v>610</v>
      </c>
      <c r="B150" s="1" t="s">
        <v>611</v>
      </c>
      <c r="D150" s="1" t="str">
        <f t="shared" si="12"/>
        <v>Documents\GitHub\Ozon_upload\barcode\punky monkey\Термонаклейка Минни Маус Единорог.pdf</v>
      </c>
      <c r="E150" s="15" t="str">
        <f t="shared" si="11"/>
        <v>C:\Users\maxim\Documents\GitHub\Ozon_upload\DTF_images\max\dtf_a5\Термонаклейка Минни Маус Единорог_img.tif</v>
      </c>
      <c r="F150" s="1">
        <v>0</v>
      </c>
      <c r="G150" s="1">
        <v>2</v>
      </c>
      <c r="I150" s="1" t="s">
        <v>612</v>
      </c>
      <c r="K150" s="1" t="s">
        <v>48</v>
      </c>
      <c r="AM150" s="1">
        <v>16</v>
      </c>
      <c r="AN150" s="1">
        <v>180</v>
      </c>
      <c r="AO150" s="1">
        <v>1</v>
      </c>
      <c r="AP150" s="1">
        <v>250</v>
      </c>
      <c r="AQ150" s="2" t="s">
        <v>554</v>
      </c>
    </row>
    <row r="151" spans="1:43" x14ac:dyDescent="0.2">
      <c r="A151" s="9" t="s">
        <v>613</v>
      </c>
      <c r="B151" s="1" t="s">
        <v>614</v>
      </c>
      <c r="D151" s="1" t="str">
        <f t="shared" si="12"/>
        <v>Documents\GitHub\Ozon_upload\barcode\punky monkey\Термонаклейка Минни Маус Набор.pdf</v>
      </c>
      <c r="E151" s="15" t="str">
        <f t="shared" si="11"/>
        <v>C:\Users\maxim\Documents\GitHub\Ozon_upload\DTF_images\max\dtf_a5\Термонаклейка Минни Маус Набор_img.tif</v>
      </c>
      <c r="F151" s="1">
        <v>0</v>
      </c>
      <c r="G151" s="1">
        <v>2</v>
      </c>
      <c r="I151" s="1" t="s">
        <v>615</v>
      </c>
      <c r="K151" s="1" t="s">
        <v>48</v>
      </c>
      <c r="AM151" s="1">
        <v>16</v>
      </c>
      <c r="AN151" s="1">
        <v>180</v>
      </c>
      <c r="AO151" s="1">
        <v>1</v>
      </c>
      <c r="AP151" s="1">
        <v>250</v>
      </c>
      <c r="AQ151" s="2" t="s">
        <v>554</v>
      </c>
    </row>
    <row r="152" spans="1:43" x14ac:dyDescent="0.2">
      <c r="A152" s="9" t="s">
        <v>616</v>
      </c>
      <c r="B152" s="1" t="s">
        <v>617</v>
      </c>
      <c r="D152" s="1" t="str">
        <f t="shared" si="12"/>
        <v>Documents\GitHub\Ozon_upload\barcode\punky monkey\Термонаклейка Крокодил футбол.pdf</v>
      </c>
      <c r="E152" s="15" t="str">
        <f t="shared" si="11"/>
        <v>C:\Users\maxim\Documents\GitHub\Ozon_upload\DTF_images\max\dtf_a5\Термонаклейка Крокодил футбол_img.tif</v>
      </c>
      <c r="F152" s="1">
        <v>1</v>
      </c>
      <c r="G152" s="1">
        <v>2</v>
      </c>
      <c r="I152" s="1" t="s">
        <v>618</v>
      </c>
      <c r="K152" s="1" t="s">
        <v>48</v>
      </c>
      <c r="AM152" s="1">
        <v>16</v>
      </c>
      <c r="AN152" s="1">
        <v>180</v>
      </c>
      <c r="AO152" s="1">
        <v>1</v>
      </c>
      <c r="AP152" s="1">
        <v>250</v>
      </c>
      <c r="AQ152" s="2" t="s">
        <v>554</v>
      </c>
    </row>
    <row r="153" spans="1:43" ht="15" x14ac:dyDescent="0.25">
      <c r="A153" s="4" t="s">
        <v>619</v>
      </c>
      <c r="B153" s="1" t="s">
        <v>620</v>
      </c>
      <c r="C153" s="1" t="s">
        <v>621</v>
      </c>
      <c r="D153" s="1" t="str">
        <f t="shared" si="12"/>
        <v>Documents\GitHub\Ozon_upload\barcode\punky monkey\Термонаклейка Девушка волосы облако.pdf</v>
      </c>
      <c r="E153" s="1" t="str">
        <f>CONCATENATE("C:\work\baby prints\MainTop\tif\A4\",C153,".tif")</f>
        <v>C:\work\baby prints\MainTop\tif\A4\1_girl_with_cloud_hair.tif</v>
      </c>
      <c r="F153" s="1">
        <v>1</v>
      </c>
      <c r="G153" s="1">
        <v>1</v>
      </c>
      <c r="I153" s="1" t="s">
        <v>622</v>
      </c>
      <c r="K153" s="1" t="s">
        <v>48</v>
      </c>
      <c r="AM153" s="1">
        <v>30</v>
      </c>
      <c r="AN153" s="1">
        <v>220</v>
      </c>
      <c r="AO153" s="1">
        <v>1</v>
      </c>
      <c r="AP153" s="1">
        <v>300</v>
      </c>
      <c r="AQ153" s="2" t="s">
        <v>623</v>
      </c>
    </row>
    <row r="154" spans="1:43" ht="15" x14ac:dyDescent="0.25">
      <c r="A154" s="4" t="s">
        <v>624</v>
      </c>
      <c r="B154" s="1" t="s">
        <v>625</v>
      </c>
      <c r="C154" s="1" t="s">
        <v>626</v>
      </c>
      <c r="D154" s="1" t="str">
        <f t="shared" si="12"/>
        <v>Documents\GitHub\Ozon_upload\barcode\punky monkey\Термонаклейка Девушка очки с краской розовой.pdf</v>
      </c>
      <c r="E154" s="15" t="str">
        <f t="shared" ref="E154:E185" si="13">CONCATENATE("C:\Users\maxim\Documents\GitHub\Ozon_upload\DTF_images\max\A4\",C154,".tif")</f>
        <v>C:\Users\maxim\Documents\GitHub\Ozon_upload\DTF_images\max\A4\2_girl_pink_glasses.tif</v>
      </c>
      <c r="F154" s="1">
        <v>1</v>
      </c>
      <c r="G154" s="1">
        <v>1</v>
      </c>
      <c r="I154" s="1" t="s">
        <v>627</v>
      </c>
      <c r="K154" s="1" t="s">
        <v>48</v>
      </c>
      <c r="AM154" s="1">
        <v>30</v>
      </c>
      <c r="AN154" s="1">
        <v>220</v>
      </c>
      <c r="AO154" s="1">
        <v>1</v>
      </c>
      <c r="AP154" s="1">
        <v>300</v>
      </c>
      <c r="AQ154" s="2" t="s">
        <v>628</v>
      </c>
    </row>
    <row r="155" spans="1:43" ht="14.25" x14ac:dyDescent="0.2">
      <c r="A155" s="1" t="s">
        <v>629</v>
      </c>
      <c r="B155" s="1" t="s">
        <v>630</v>
      </c>
      <c r="C155" s="3" t="s">
        <v>631</v>
      </c>
      <c r="D155" s="1" t="str">
        <f t="shared" si="12"/>
        <v>Documents\GitHub\Ozon_upload\barcode\punky monkey\Термонаклейка Мэрилин Монро поп арт вырезки.pdf</v>
      </c>
      <c r="E155" s="15" t="str">
        <f t="shared" si="13"/>
        <v>C:\Users\maxim\Documents\GitHub\Ozon_upload\DTF_images\max\A4\3_merlin_monroe_popart.tif</v>
      </c>
      <c r="F155" s="1">
        <v>1</v>
      </c>
      <c r="G155" s="1">
        <v>1</v>
      </c>
      <c r="I155" s="1" t="s">
        <v>632</v>
      </c>
      <c r="K155" s="1" t="s">
        <v>48</v>
      </c>
      <c r="AM155" s="1">
        <v>30</v>
      </c>
      <c r="AN155" s="1">
        <v>220</v>
      </c>
      <c r="AO155" s="1">
        <v>1</v>
      </c>
      <c r="AP155" s="1">
        <v>300</v>
      </c>
      <c r="AQ155" s="2" t="s">
        <v>623</v>
      </c>
    </row>
    <row r="156" spans="1:43" x14ac:dyDescent="0.2">
      <c r="A156" s="1" t="s">
        <v>633</v>
      </c>
      <c r="B156" s="1" t="s">
        <v>634</v>
      </c>
      <c r="C156" s="1" t="s">
        <v>635</v>
      </c>
      <c r="D156" s="1" t="str">
        <f t="shared" si="12"/>
        <v>Documents\GitHub\Ozon_upload\barcode\punky monkey\Термонаклейка Африканская Девушка черный силуэт.pdf</v>
      </c>
      <c r="E156" s="15" t="str">
        <f t="shared" si="13"/>
        <v>C:\Users\maxim\Documents\GitHub\Ozon_upload\DTF_images\max\A4\4_blackgirl1_250.tif</v>
      </c>
      <c r="F156" s="1">
        <v>1</v>
      </c>
      <c r="G156" s="1">
        <v>1</v>
      </c>
      <c r="I156" s="1" t="s">
        <v>636</v>
      </c>
      <c r="K156" s="1" t="s">
        <v>48</v>
      </c>
      <c r="AM156" s="1">
        <v>30</v>
      </c>
      <c r="AN156" s="1">
        <v>220</v>
      </c>
      <c r="AO156" s="1">
        <v>1</v>
      </c>
      <c r="AP156" s="1">
        <v>300</v>
      </c>
      <c r="AQ156" s="2" t="s">
        <v>623</v>
      </c>
    </row>
    <row r="157" spans="1:43" x14ac:dyDescent="0.2">
      <c r="A157" s="1" t="s">
        <v>637</v>
      </c>
      <c r="B157" s="1" t="s">
        <v>638</v>
      </c>
      <c r="C157" s="1" t="s">
        <v>639</v>
      </c>
      <c r="D157" s="1" t="str">
        <f t="shared" si="12"/>
        <v>Documents\GitHub\Ozon_upload\barcode\punky monkey\Термонаклейка Кот Шанель Chanel.pdf</v>
      </c>
      <c r="E157" s="15" t="str">
        <f t="shared" si="13"/>
        <v>C:\Users\maxim\Documents\GitHub\Ozon_upload\DTF_images\max\A4\5_cat_channel_250.tif</v>
      </c>
      <c r="F157" s="1">
        <v>1</v>
      </c>
      <c r="G157" s="1">
        <v>1</v>
      </c>
      <c r="I157" s="1" t="s">
        <v>640</v>
      </c>
      <c r="K157" s="1" t="s">
        <v>48</v>
      </c>
      <c r="AM157" s="1">
        <v>30</v>
      </c>
      <c r="AN157" s="1">
        <v>220</v>
      </c>
      <c r="AO157" s="1">
        <v>1</v>
      </c>
      <c r="AP157" s="1">
        <v>300</v>
      </c>
      <c r="AQ157" s="2" t="s">
        <v>623</v>
      </c>
    </row>
    <row r="158" spans="1:43" x14ac:dyDescent="0.2">
      <c r="A158" s="1" t="s">
        <v>641</v>
      </c>
      <c r="B158" s="1" t="s">
        <v>642</v>
      </c>
      <c r="C158" s="1" t="s">
        <v>643</v>
      </c>
      <c r="D158" s="1" t="str">
        <f t="shared" si="12"/>
        <v>Documents\GitHub\Ozon_upload\barcode\punky monkey\Термонаклейка Кот выглядывает радуга.pdf</v>
      </c>
      <c r="E158" s="15" t="str">
        <f t="shared" si="13"/>
        <v>C:\Users\maxim\Documents\GitHub\Ozon_upload\DTF_images\max\A4\6_cat_face_250.tif</v>
      </c>
      <c r="F158" s="1">
        <v>1</v>
      </c>
      <c r="G158" s="1">
        <v>1</v>
      </c>
      <c r="I158" s="1" t="s">
        <v>622</v>
      </c>
      <c r="K158" s="1" t="s">
        <v>48</v>
      </c>
      <c r="AM158" s="1">
        <v>30</v>
      </c>
      <c r="AN158" s="1">
        <v>220</v>
      </c>
      <c r="AO158" s="1">
        <v>1</v>
      </c>
      <c r="AP158" s="1">
        <v>300</v>
      </c>
      <c r="AQ158" s="2" t="s">
        <v>623</v>
      </c>
    </row>
    <row r="159" spans="1:43" x14ac:dyDescent="0.2">
      <c r="A159" s="1" t="s">
        <v>644</v>
      </c>
      <c r="B159" s="1" t="s">
        <v>645</v>
      </c>
      <c r="C159" s="1" t="s">
        <v>646</v>
      </c>
      <c r="D159" s="1" t="str">
        <f t="shared" si="12"/>
        <v>Documents\GitHub\Ozon_upload\barcode\punky monkey\Термонаклейка Кот картина Ван Гог.pdf</v>
      </c>
      <c r="E159" s="15" t="str">
        <f t="shared" si="13"/>
        <v>C:\Users\maxim\Documents\GitHub\Ozon_upload\DTF_images\max\A4\7_cat250.tif</v>
      </c>
      <c r="F159" s="1">
        <v>1</v>
      </c>
      <c r="G159" s="1">
        <v>1</v>
      </c>
      <c r="I159" s="1" t="s">
        <v>647</v>
      </c>
      <c r="K159" s="1" t="s">
        <v>48</v>
      </c>
      <c r="AM159" s="1">
        <v>30</v>
      </c>
      <c r="AN159" s="1">
        <v>220</v>
      </c>
      <c r="AO159" s="1">
        <v>1</v>
      </c>
      <c r="AP159" s="1">
        <v>300</v>
      </c>
      <c r="AQ159" s="2" t="s">
        <v>623</v>
      </c>
    </row>
    <row r="160" spans="1:43" x14ac:dyDescent="0.2">
      <c r="A160" s="1" t="s">
        <v>648</v>
      </c>
      <c r="B160" s="1" t="s">
        <v>649</v>
      </c>
      <c r="C160" s="1" t="s">
        <v>650</v>
      </c>
      <c r="D160" s="1" t="str">
        <f t="shared" si="12"/>
        <v>Documents\GitHub\Ozon_upload\barcode\punky monkey\Термонаклейка мультяшный Кот картина Ван Гог.pdf</v>
      </c>
      <c r="E160" s="15" t="str">
        <f t="shared" si="13"/>
        <v>C:\Users\maxim\Documents\GitHub\Ozon_upload\DTF_images\max\A4\8_cat250_1.tif</v>
      </c>
      <c r="F160" s="1">
        <v>1</v>
      </c>
      <c r="G160" s="1">
        <v>1</v>
      </c>
      <c r="I160" s="1" t="s">
        <v>651</v>
      </c>
      <c r="K160" s="1" t="s">
        <v>48</v>
      </c>
      <c r="AM160" s="1">
        <v>30</v>
      </c>
      <c r="AN160" s="1">
        <v>220</v>
      </c>
      <c r="AO160" s="1">
        <v>1</v>
      </c>
      <c r="AP160" s="1">
        <v>300</v>
      </c>
      <c r="AQ160" s="2" t="s">
        <v>623</v>
      </c>
    </row>
    <row r="161" spans="1:43" x14ac:dyDescent="0.2">
      <c r="A161" s="1" t="s">
        <v>652</v>
      </c>
      <c r="B161" s="1" t="s">
        <v>653</v>
      </c>
      <c r="C161" s="1" t="s">
        <v>654</v>
      </c>
      <c r="D161" s="1" t="str">
        <f t="shared" si="12"/>
        <v>Documents\GitHub\Ozon_upload\barcode\punky monkey\Термонаклейка Женщина кошка ест вишинку.pdf</v>
      </c>
      <c r="E161" s="15" t="str">
        <f t="shared" si="13"/>
        <v>C:\Users\maxim\Documents\GitHub\Ozon_upload\DTF_images\max\A4\9_cherry_250.tif</v>
      </c>
      <c r="F161" s="1">
        <v>1</v>
      </c>
      <c r="G161" s="1">
        <v>1</v>
      </c>
      <c r="I161" s="1" t="s">
        <v>655</v>
      </c>
      <c r="K161" s="1" t="s">
        <v>48</v>
      </c>
      <c r="AM161" s="1">
        <v>30</v>
      </c>
      <c r="AN161" s="1">
        <v>220</v>
      </c>
      <c r="AO161" s="1">
        <v>1</v>
      </c>
      <c r="AP161" s="1">
        <v>300</v>
      </c>
      <c r="AQ161" s="2" t="s">
        <v>623</v>
      </c>
    </row>
    <row r="162" spans="1:43" x14ac:dyDescent="0.2">
      <c r="A162" s="1" t="s">
        <v>656</v>
      </c>
      <c r="B162" s="1" t="s">
        <v>657</v>
      </c>
      <c r="C162" s="1" t="s">
        <v>658</v>
      </c>
      <c r="D162" s="1" t="str">
        <f t="shared" si="12"/>
        <v>Documents\GitHub\Ozon_upload\barcode\punky monkey\Термонаклейка Красные перцы.pdf</v>
      </c>
      <c r="E162" s="15" t="str">
        <f t="shared" si="13"/>
        <v>C:\Users\maxim\Documents\GitHub\Ozon_upload\DTF_images\max\A4\10_chillis.tif</v>
      </c>
      <c r="F162" s="1">
        <v>1</v>
      </c>
      <c r="G162" s="1">
        <v>1</v>
      </c>
      <c r="I162" s="1" t="s">
        <v>659</v>
      </c>
      <c r="K162" s="1" t="s">
        <v>48</v>
      </c>
      <c r="AM162" s="1">
        <v>30</v>
      </c>
      <c r="AN162" s="1">
        <v>220</v>
      </c>
      <c r="AO162" s="1">
        <v>1</v>
      </c>
      <c r="AP162" s="1">
        <v>300</v>
      </c>
      <c r="AQ162" s="2" t="s">
        <v>623</v>
      </c>
    </row>
    <row r="163" spans="1:43" ht="15" x14ac:dyDescent="0.25">
      <c r="A163" s="4" t="s">
        <v>660</v>
      </c>
      <c r="B163" s="1" t="s">
        <v>661</v>
      </c>
      <c r="C163" s="1" t="s">
        <v>662</v>
      </c>
      <c r="D163" s="1" t="str">
        <f t="shared" si="12"/>
        <v>Documents\GitHub\Ozon_upload\barcode\punky monkey\Термонаклейка Dior Диор Девушка курит облако.pdf</v>
      </c>
      <c r="E163" s="15" t="str">
        <f t="shared" si="13"/>
        <v>C:\Users\maxim\Documents\GitHub\Ozon_upload\DTF_images\max\A4\11_dior2_260.tif</v>
      </c>
      <c r="F163" s="1">
        <v>1</v>
      </c>
      <c r="G163" s="1">
        <v>1</v>
      </c>
      <c r="I163" s="1" t="s">
        <v>663</v>
      </c>
      <c r="K163" s="1" t="s">
        <v>48</v>
      </c>
      <c r="AM163" s="1">
        <v>30</v>
      </c>
      <c r="AN163" s="1">
        <v>220</v>
      </c>
      <c r="AO163" s="1">
        <v>1</v>
      </c>
      <c r="AP163" s="1">
        <v>300</v>
      </c>
      <c r="AQ163" s="2" t="s">
        <v>623</v>
      </c>
    </row>
    <row r="164" spans="1:43" x14ac:dyDescent="0.2">
      <c r="A164" s="1" t="s">
        <v>664</v>
      </c>
      <c r="B164" s="1" t="s">
        <v>665</v>
      </c>
      <c r="C164" s="1" t="s">
        <v>666</v>
      </c>
      <c r="D164" s="1" t="str">
        <f t="shared" si="12"/>
        <v>Documents\GitHub\Ozon_upload\barcode\punky monkey\Термонаклейка Dior Диор Цветы.pdf</v>
      </c>
      <c r="E164" s="15" t="str">
        <f t="shared" si="13"/>
        <v>C:\Users\maxim\Documents\GitHub\Ozon_upload\DTF_images\max\A4\12_dior250.tif</v>
      </c>
      <c r="F164" s="1">
        <v>1</v>
      </c>
      <c r="G164" s="1">
        <v>1</v>
      </c>
      <c r="I164" s="1" t="s">
        <v>667</v>
      </c>
      <c r="K164" s="1" t="s">
        <v>48</v>
      </c>
      <c r="AM164" s="1">
        <v>30</v>
      </c>
      <c r="AN164" s="1">
        <v>220</v>
      </c>
      <c r="AO164" s="1">
        <v>1</v>
      </c>
      <c r="AP164" s="1">
        <v>300</v>
      </c>
      <c r="AQ164" s="2" t="s">
        <v>623</v>
      </c>
    </row>
    <row r="165" spans="1:43" x14ac:dyDescent="0.2">
      <c r="A165" s="1" t="s">
        <v>668</v>
      </c>
      <c r="B165" s="1" t="s">
        <v>669</v>
      </c>
      <c r="C165" s="1" t="s">
        <v>670</v>
      </c>
      <c r="D165" s="1" t="str">
        <f t="shared" si="12"/>
        <v>Documents\GitHub\Ozon_upload\barcode\punky monkey\Термонаклейка Vogue Вог Эйфелева башня.pdf</v>
      </c>
      <c r="E165" s="15" t="str">
        <f t="shared" si="13"/>
        <v>C:\Users\maxim\Documents\GitHub\Ozon_upload\DTF_images\max\A4\13_efel250.tif</v>
      </c>
      <c r="F165" s="1">
        <v>1</v>
      </c>
      <c r="G165" s="1">
        <v>1</v>
      </c>
      <c r="I165" s="1" t="s">
        <v>671</v>
      </c>
      <c r="K165" s="1" t="s">
        <v>48</v>
      </c>
      <c r="AM165" s="1">
        <v>30</v>
      </c>
      <c r="AN165" s="1">
        <v>220</v>
      </c>
      <c r="AO165" s="1">
        <v>1</v>
      </c>
      <c r="AP165" s="1">
        <v>300</v>
      </c>
      <c r="AQ165" s="2" t="s">
        <v>623</v>
      </c>
    </row>
    <row r="166" spans="1:43" x14ac:dyDescent="0.2">
      <c r="A166" s="1" t="s">
        <v>672</v>
      </c>
      <c r="B166" s="1" t="s">
        <v>673</v>
      </c>
      <c r="C166" s="1" t="s">
        <v>674</v>
      </c>
      <c r="D166" s="1" t="str">
        <f t="shared" si="12"/>
        <v>Documents\GitHub\Ozon_upload\barcode\punky monkey\Термонаклейка Бюст статуи Feelings скрыты глаза.pdf</v>
      </c>
      <c r="E166" s="15" t="str">
        <f t="shared" si="13"/>
        <v>C:\Users\maxim\Documents\GitHub\Ozon_upload\DTF_images\max\A4\14_feelings_250.tif</v>
      </c>
      <c r="F166" s="1">
        <v>1</v>
      </c>
      <c r="G166" s="1">
        <v>1</v>
      </c>
      <c r="I166" s="1" t="s">
        <v>675</v>
      </c>
      <c r="K166" s="1" t="s">
        <v>48</v>
      </c>
      <c r="AM166" s="1">
        <v>30</v>
      </c>
      <c r="AN166" s="1">
        <v>220</v>
      </c>
      <c r="AO166" s="1">
        <v>1</v>
      </c>
      <c r="AP166" s="1">
        <v>300</v>
      </c>
      <c r="AQ166" s="2" t="s">
        <v>623</v>
      </c>
    </row>
    <row r="167" spans="1:43" ht="15" x14ac:dyDescent="0.25">
      <c r="A167" s="4" t="s">
        <v>676</v>
      </c>
      <c r="B167" s="1" t="s">
        <v>677</v>
      </c>
      <c r="C167" s="1" t="s">
        <v>678</v>
      </c>
      <c r="D167" s="1" t="str">
        <f t="shared" si="12"/>
        <v>Documents\GitHub\Ozon_upload\barcode\punky monkey\Термонаклейка Рыба паттерн яркая красивая.pdf</v>
      </c>
      <c r="E167" s="15" t="str">
        <f t="shared" si="13"/>
        <v>C:\Users\maxim\Documents\GitHub\Ozon_upload\DTF_images\max\A4\15_fish250.tif</v>
      </c>
      <c r="F167" s="1">
        <v>1</v>
      </c>
      <c r="G167" s="1">
        <v>1</v>
      </c>
      <c r="I167" s="1" t="s">
        <v>679</v>
      </c>
      <c r="K167" s="1" t="s">
        <v>48</v>
      </c>
      <c r="AM167" s="1">
        <v>30</v>
      </c>
      <c r="AN167" s="1">
        <v>220</v>
      </c>
      <c r="AO167" s="1">
        <v>1</v>
      </c>
      <c r="AP167" s="1">
        <v>300</v>
      </c>
      <c r="AQ167" s="2" t="s">
        <v>623</v>
      </c>
    </row>
    <row r="168" spans="1:43" x14ac:dyDescent="0.2">
      <c r="A168" s="1" t="s">
        <v>680</v>
      </c>
      <c r="B168" s="1" t="s">
        <v>681</v>
      </c>
      <c r="C168" s="1" t="s">
        <v>682</v>
      </c>
      <c r="D168" s="1" t="str">
        <f t="shared" si="12"/>
        <v>Documents\GitHub\Ozon_upload\barcode\punky monkey\Термонаклейка Розовый Фламинго цветок.pdf</v>
      </c>
      <c r="E168" s="15" t="str">
        <f t="shared" si="13"/>
        <v>C:\Users\maxim\Documents\GitHub\Ozon_upload\DTF_images\max\A4\16_flamingo250.tif</v>
      </c>
      <c r="F168" s="1">
        <v>1</v>
      </c>
      <c r="G168" s="1">
        <v>1</v>
      </c>
      <c r="I168" s="1" t="s">
        <v>683</v>
      </c>
      <c r="K168" s="1" t="s">
        <v>48</v>
      </c>
      <c r="AM168" s="1">
        <v>30</v>
      </c>
      <c r="AN168" s="1">
        <v>220</v>
      </c>
      <c r="AO168" s="1">
        <v>1</v>
      </c>
      <c r="AP168" s="1">
        <v>300</v>
      </c>
      <c r="AQ168" s="2" t="s">
        <v>623</v>
      </c>
    </row>
    <row r="169" spans="1:43" x14ac:dyDescent="0.2">
      <c r="A169" s="1" t="s">
        <v>684</v>
      </c>
      <c r="B169" s="1" t="s">
        <v>685</v>
      </c>
      <c r="C169" s="1" t="s">
        <v>686</v>
      </c>
      <c r="D169" s="1" t="str">
        <f t="shared" si="12"/>
        <v>Documents\GitHub\Ozon_upload\barcode\punky monkey\Термонаклейка Дали Ван Гог Фрида Кало в машине.pdf</v>
      </c>
      <c r="E169" s="15" t="str">
        <f t="shared" si="13"/>
        <v>C:\Users\maxim\Documents\GitHub\Ozon_upload\DTF_images\max\A4\17_freands1_250.tif</v>
      </c>
      <c r="F169" s="1">
        <v>1</v>
      </c>
      <c r="G169" s="1">
        <v>1</v>
      </c>
      <c r="I169" s="1" t="s">
        <v>687</v>
      </c>
      <c r="K169" s="1" t="s">
        <v>48</v>
      </c>
      <c r="AM169" s="1">
        <v>30</v>
      </c>
      <c r="AN169" s="1">
        <v>220</v>
      </c>
      <c r="AO169" s="1">
        <v>1</v>
      </c>
      <c r="AP169" s="1">
        <v>300</v>
      </c>
      <c r="AQ169" s="2" t="s">
        <v>623</v>
      </c>
    </row>
    <row r="170" spans="1:43" x14ac:dyDescent="0.2">
      <c r="A170" s="1" t="s">
        <v>688</v>
      </c>
      <c r="B170" s="1" t="s">
        <v>689</v>
      </c>
      <c r="C170" s="1" t="s">
        <v>690</v>
      </c>
      <c r="D170" s="1" t="str">
        <f t="shared" si="12"/>
        <v>Documents\GitHub\Ozon_upload\barcode\punky monkey\Термонаклейка Женщина кошка пьет молоко из стакана.pdf</v>
      </c>
      <c r="E170" s="15" t="str">
        <f t="shared" si="13"/>
        <v>C:\Users\maxim\Documents\GitHub\Ozon_upload\DTF_images\max\A4\18_girl_drink_250.tif</v>
      </c>
      <c r="F170" s="1">
        <v>1</v>
      </c>
      <c r="G170" s="1">
        <v>1</v>
      </c>
      <c r="I170" s="1" t="s">
        <v>691</v>
      </c>
      <c r="K170" s="1" t="s">
        <v>48</v>
      </c>
      <c r="AM170" s="1">
        <v>30</v>
      </c>
      <c r="AN170" s="1">
        <v>220</v>
      </c>
      <c r="AO170" s="1">
        <v>1</v>
      </c>
      <c r="AP170" s="1">
        <v>300</v>
      </c>
      <c r="AQ170" s="2" t="s">
        <v>623</v>
      </c>
    </row>
    <row r="171" spans="1:43" x14ac:dyDescent="0.2">
      <c r="A171" s="1" t="s">
        <v>692</v>
      </c>
      <c r="B171" s="1" t="s">
        <v>693</v>
      </c>
      <c r="C171" s="1" t="s">
        <v>694</v>
      </c>
      <c r="D171" s="1" t="str">
        <f t="shared" si="12"/>
        <v>Documents\GitHub\Ozon_upload\barcode\punky monkey\Термонаклейка Африка Девушка разнацветные воосы.pdf</v>
      </c>
      <c r="E171" s="15" t="str">
        <f t="shared" si="13"/>
        <v>C:\Users\maxim\Documents\GitHub\Ozon_upload\DTF_images\max\A4\19_girl_hair_250.tif</v>
      </c>
      <c r="F171" s="1">
        <v>1</v>
      </c>
      <c r="G171" s="1">
        <v>1</v>
      </c>
      <c r="I171" s="1" t="s">
        <v>695</v>
      </c>
      <c r="K171" s="1" t="s">
        <v>48</v>
      </c>
      <c r="AM171" s="1">
        <v>30</v>
      </c>
      <c r="AN171" s="1">
        <v>220</v>
      </c>
      <c r="AO171" s="1">
        <v>1</v>
      </c>
      <c r="AP171" s="1">
        <v>300</v>
      </c>
      <c r="AQ171" s="2" t="s">
        <v>623</v>
      </c>
    </row>
    <row r="172" spans="1:43" ht="15" x14ac:dyDescent="0.25">
      <c r="A172" s="4" t="s">
        <v>696</v>
      </c>
      <c r="B172" s="1" t="s">
        <v>697</v>
      </c>
      <c r="C172" s="1" t="s">
        <v>698</v>
      </c>
      <c r="D172" s="1" t="str">
        <f t="shared" si="12"/>
        <v>Documents\GitHub\Ozon_upload\barcode\punky monkey\Термонаклейка Леопардовая блондинка девушка mood.pdf</v>
      </c>
      <c r="E172" s="15" t="str">
        <f t="shared" si="13"/>
        <v>C:\Users\maxim\Documents\GitHub\Ozon_upload\DTF_images\max\A4\20_girl1_260.tif</v>
      </c>
      <c r="F172" s="1">
        <v>1</v>
      </c>
      <c r="G172" s="1">
        <v>1</v>
      </c>
      <c r="I172" s="1" t="s">
        <v>699</v>
      </c>
      <c r="K172" s="1" t="s">
        <v>48</v>
      </c>
      <c r="AM172" s="1">
        <v>30</v>
      </c>
      <c r="AN172" s="1">
        <v>220</v>
      </c>
      <c r="AO172" s="1">
        <v>1</v>
      </c>
      <c r="AP172" s="1">
        <v>300</v>
      </c>
      <c r="AQ172" s="2" t="s">
        <v>623</v>
      </c>
    </row>
    <row r="173" spans="1:43" ht="15" x14ac:dyDescent="0.25">
      <c r="A173" s="4" t="s">
        <v>700</v>
      </c>
      <c r="B173" s="1" t="s">
        <v>701</v>
      </c>
      <c r="C173" s="1" t="s">
        <v>702</v>
      </c>
      <c r="D173" s="1" t="str">
        <f t="shared" si="12"/>
        <v>Documents\GitHub\Ozon_upload\barcode\punky monkey\Термонаклейка Цветы Черный Силуэт Девушки.pdf</v>
      </c>
      <c r="E173" s="15" t="str">
        <f t="shared" si="13"/>
        <v>C:\Users\maxim\Documents\GitHub\Ozon_upload\DTF_images\max\A4\21_head250.tif</v>
      </c>
      <c r="F173" s="1">
        <v>1</v>
      </c>
      <c r="G173" s="1">
        <v>1</v>
      </c>
      <c r="I173" s="1" t="s">
        <v>703</v>
      </c>
      <c r="K173" s="1" t="s">
        <v>48</v>
      </c>
      <c r="AM173" s="1">
        <v>30</v>
      </c>
      <c r="AN173" s="1">
        <v>220</v>
      </c>
      <c r="AO173" s="1">
        <v>1</v>
      </c>
      <c r="AP173" s="1">
        <v>300</v>
      </c>
      <c r="AQ173" s="2" t="s">
        <v>623</v>
      </c>
    </row>
    <row r="174" spans="1:43" ht="15" x14ac:dyDescent="0.25">
      <c r="A174" s="4" t="s">
        <v>704</v>
      </c>
      <c r="B174" s="1" t="s">
        <v>705</v>
      </c>
      <c r="C174" s="1" t="s">
        <v>706</v>
      </c>
      <c r="D174" s="1" t="str">
        <f t="shared" si="12"/>
        <v>Documents\GitHub\Ozon_upload\barcode\punky monkey\Термонаклейка Леопардовое сердце поцелуй губ.pdf</v>
      </c>
      <c r="E174" s="15" t="str">
        <f t="shared" si="13"/>
        <v>C:\Users\maxim\Documents\GitHub\Ozon_upload\DTF_images\max\A4\22_heart2_20.tif</v>
      </c>
      <c r="F174" s="1">
        <v>0</v>
      </c>
      <c r="G174" s="1">
        <v>1</v>
      </c>
      <c r="I174" s="1" t="s">
        <v>707</v>
      </c>
      <c r="K174" s="1" t="s">
        <v>48</v>
      </c>
      <c r="AM174" s="1">
        <v>30</v>
      </c>
      <c r="AN174" s="1">
        <v>220</v>
      </c>
      <c r="AO174" s="1">
        <v>1</v>
      </c>
      <c r="AP174" s="1">
        <v>300</v>
      </c>
      <c r="AQ174" s="2" t="s">
        <v>623</v>
      </c>
    </row>
    <row r="175" spans="1:43" ht="15" x14ac:dyDescent="0.25">
      <c r="A175" s="4" t="s">
        <v>708</v>
      </c>
      <c r="B175" s="1" t="s">
        <v>709</v>
      </c>
      <c r="C175" s="1" t="s">
        <v>710</v>
      </c>
      <c r="D175" s="1" t="str">
        <f t="shared" si="12"/>
        <v>Documents\GitHub\Ozon_upload\barcode\punky monkey\Термонаклейка Девушка с чупа чупсом I dont care.pdf</v>
      </c>
      <c r="E175" s="15" t="str">
        <f t="shared" si="13"/>
        <v>C:\Users\maxim\Documents\GitHub\Ozon_upload\DTF_images\max\A4\24_idontcare_250.tif</v>
      </c>
      <c r="F175" s="1">
        <v>1</v>
      </c>
      <c r="G175" s="1">
        <v>1</v>
      </c>
      <c r="I175" s="1" t="s">
        <v>711</v>
      </c>
      <c r="K175" s="1" t="s">
        <v>48</v>
      </c>
      <c r="AM175" s="1">
        <v>30</v>
      </c>
      <c r="AN175" s="1">
        <v>220</v>
      </c>
      <c r="AO175" s="1">
        <v>1</v>
      </c>
      <c r="AP175" s="1">
        <v>300</v>
      </c>
      <c r="AQ175" s="2" t="s">
        <v>623</v>
      </c>
    </row>
    <row r="176" spans="1:43" ht="15" x14ac:dyDescent="0.25">
      <c r="A176" s="4" t="s">
        <v>712</v>
      </c>
      <c r="B176" s="1" t="s">
        <v>713</v>
      </c>
      <c r="C176" s="1" t="s">
        <v>714</v>
      </c>
      <c r="D176" s="1" t="str">
        <f t="shared" si="12"/>
        <v>Documents\GitHub\Ozon_upload\barcode\punky monkey\Термонаклейка Аниме девочка с мечом розовые волосы.pdf</v>
      </c>
      <c r="E176" s="15" t="str">
        <f t="shared" si="13"/>
        <v>C:\Users\maxim\Documents\GitHub\Ozon_upload\DTF_images\max\A4\25_japan1_250.tif</v>
      </c>
      <c r="F176" s="1">
        <v>1</v>
      </c>
      <c r="G176" s="1">
        <v>1</v>
      </c>
      <c r="I176" s="1" t="s">
        <v>715</v>
      </c>
      <c r="K176" s="1" t="s">
        <v>48</v>
      </c>
      <c r="AM176" s="1">
        <v>30</v>
      </c>
      <c r="AN176" s="1">
        <v>220</v>
      </c>
      <c r="AO176" s="1">
        <v>1</v>
      </c>
      <c r="AP176" s="1">
        <v>300</v>
      </c>
      <c r="AQ176" s="2" t="s">
        <v>623</v>
      </c>
    </row>
    <row r="177" spans="1:43" x14ac:dyDescent="0.2">
      <c r="A177" s="1" t="s">
        <v>716</v>
      </c>
      <c r="B177" s="1" t="s">
        <v>717</v>
      </c>
      <c r="C177" s="1" t="s">
        <v>718</v>
      </c>
      <c r="D177" s="1" t="str">
        <f t="shared" si="12"/>
        <v>Documents\GitHub\Ozon_upload\barcode\punky monkey\Термонаклейка Аниме девочка в куртке со стикерами.pdf</v>
      </c>
      <c r="E177" s="15" t="str">
        <f t="shared" si="13"/>
        <v>C:\Users\maxim\Documents\GitHub\Ozon_upload\DTF_images\max\A4\26_japan2_250.tif</v>
      </c>
      <c r="F177" s="1">
        <v>1</v>
      </c>
      <c r="G177" s="1">
        <v>1</v>
      </c>
      <c r="I177" s="1" t="s">
        <v>719</v>
      </c>
      <c r="K177" s="1" t="s">
        <v>48</v>
      </c>
      <c r="AM177" s="1">
        <v>30</v>
      </c>
      <c r="AN177" s="1">
        <v>220</v>
      </c>
      <c r="AO177" s="1">
        <v>1</v>
      </c>
      <c r="AP177" s="1">
        <v>300</v>
      </c>
      <c r="AQ177" s="2" t="s">
        <v>623</v>
      </c>
    </row>
    <row r="178" spans="1:43" x14ac:dyDescent="0.2">
      <c r="A178" s="1" t="s">
        <v>720</v>
      </c>
      <c r="B178" s="1" t="s">
        <v>721</v>
      </c>
      <c r="C178" s="1" t="s">
        <v>722</v>
      </c>
      <c r="D178" s="1" t="str">
        <f t="shared" si="12"/>
        <v>Documents\GitHub\Ozon_upload\barcode\punky monkey\Термонаклейка Сейлор Мун в куртке Sailor Moon.pdf</v>
      </c>
      <c r="E178" s="15" t="str">
        <f t="shared" si="13"/>
        <v>C:\Users\maxim\Documents\GitHub\Ozon_upload\DTF_images\max\A4\27_japan3_250.tif</v>
      </c>
      <c r="F178" s="1">
        <v>1</v>
      </c>
      <c r="G178" s="1">
        <v>1</v>
      </c>
      <c r="I178" s="1" t="s">
        <v>723</v>
      </c>
      <c r="K178" s="1" t="s">
        <v>48</v>
      </c>
      <c r="AM178" s="1">
        <v>30</v>
      </c>
      <c r="AN178" s="1">
        <v>220</v>
      </c>
      <c r="AO178" s="1">
        <v>1</v>
      </c>
      <c r="AP178" s="1">
        <v>300</v>
      </c>
      <c r="AQ178" s="2" t="s">
        <v>623</v>
      </c>
    </row>
    <row r="179" spans="1:43" ht="15" x14ac:dyDescent="0.25">
      <c r="A179" s="16" t="s">
        <v>724</v>
      </c>
      <c r="B179" s="1" t="s">
        <v>725</v>
      </c>
      <c r="C179" s="1" t="s">
        <v>726</v>
      </c>
      <c r="D179" s="1" t="str">
        <f t="shared" si="12"/>
        <v>Documents\GitHub\Ozon_upload\barcode\punky monkey\Термонаклейка Аниме Девочка с чупа чупсом.pdf</v>
      </c>
      <c r="E179" s="15" t="str">
        <f t="shared" si="13"/>
        <v>C:\Users\maxim\Documents\GitHub\Ozon_upload\DTF_images\max\A4\28_japan4_250.tif</v>
      </c>
      <c r="F179" s="1">
        <v>1</v>
      </c>
      <c r="G179" s="1">
        <v>1</v>
      </c>
      <c r="I179" s="1" t="s">
        <v>727</v>
      </c>
      <c r="K179" s="1" t="s">
        <v>48</v>
      </c>
      <c r="AM179" s="1">
        <v>30</v>
      </c>
      <c r="AN179" s="1">
        <v>220</v>
      </c>
      <c r="AO179" s="1">
        <v>1</v>
      </c>
      <c r="AP179" s="1">
        <v>300</v>
      </c>
      <c r="AQ179" s="2" t="s">
        <v>623</v>
      </c>
    </row>
    <row r="180" spans="1:43" ht="15" x14ac:dyDescent="0.25">
      <c r="A180" s="16" t="s">
        <v>728</v>
      </c>
      <c r="B180" s="1" t="s">
        <v>729</v>
      </c>
      <c r="C180" s="1" t="s">
        <v>730</v>
      </c>
      <c r="D180" s="1" t="str">
        <f t="shared" ref="D180:D211" si="14">CONCATENATE("Documents\GitHub\Ozon_upload\barcode\punky monkey\", A180, ".pdf")</f>
        <v>Documents\GitHub\Ozon_upload\barcode\punky monkey\Термонаклейка Аниме Девочка с черным капюшоном.pdf</v>
      </c>
      <c r="E180" s="15" t="str">
        <f t="shared" si="13"/>
        <v>C:\Users\maxim\Documents\GitHub\Ozon_upload\DTF_images\max\A4\29_japan5_250.tif</v>
      </c>
      <c r="F180" s="1">
        <v>1</v>
      </c>
      <c r="G180" s="1">
        <v>1</v>
      </c>
      <c r="I180" s="1" t="s">
        <v>731</v>
      </c>
      <c r="K180" s="1" t="s">
        <v>48</v>
      </c>
      <c r="AM180" s="1">
        <v>30</v>
      </c>
      <c r="AN180" s="1">
        <v>220</v>
      </c>
      <c r="AO180" s="1">
        <v>1</v>
      </c>
      <c r="AP180" s="1">
        <v>300</v>
      </c>
      <c r="AQ180" s="2" t="s">
        <v>623</v>
      </c>
    </row>
    <row r="181" spans="1:43" ht="15" x14ac:dyDescent="0.25">
      <c r="A181" s="16" t="s">
        <v>732</v>
      </c>
      <c r="B181" s="1" t="s">
        <v>733</v>
      </c>
      <c r="C181" s="1" t="s">
        <v>734</v>
      </c>
      <c r="D181" s="1" t="str">
        <f t="shared" si="14"/>
        <v>Documents\GitHub\Ozon_upload\barcode\punky monkey\Термонаклейка Аниме Девочка в розовый капюшоном.pdf</v>
      </c>
      <c r="E181" s="15" t="str">
        <f t="shared" si="13"/>
        <v>C:\Users\maxim\Documents\GitHub\Ozon_upload\DTF_images\max\A4\30_japan6_250.tif</v>
      </c>
      <c r="F181" s="1">
        <v>1</v>
      </c>
      <c r="G181" s="1">
        <v>1</v>
      </c>
      <c r="I181" s="1" t="s">
        <v>735</v>
      </c>
      <c r="K181" s="1" t="s">
        <v>48</v>
      </c>
      <c r="AM181" s="1">
        <v>30</v>
      </c>
      <c r="AN181" s="1">
        <v>220</v>
      </c>
      <c r="AO181" s="1">
        <v>1</v>
      </c>
      <c r="AP181" s="1">
        <v>300</v>
      </c>
      <c r="AQ181" s="2" t="s">
        <v>623</v>
      </c>
    </row>
    <row r="182" spans="1:43" ht="15" x14ac:dyDescent="0.25">
      <c r="A182" s="16" t="s">
        <v>736</v>
      </c>
      <c r="B182" s="1" t="s">
        <v>737</v>
      </c>
      <c r="C182" s="1" t="s">
        <v>738</v>
      </c>
      <c r="D182" s="1" t="str">
        <f t="shared" si="14"/>
        <v>Documents\GitHub\Ozon_upload\barcode\punky monkey\Термонаклейка Девушка Блондинка с котом на голове.pdf</v>
      </c>
      <c r="E182" s="15" t="str">
        <f t="shared" si="13"/>
        <v>C:\Users\maxim\Documents\GitHub\Ozon_upload\DTF_images\max\A4\31_japan7_250.tif</v>
      </c>
      <c r="F182" s="1">
        <v>1</v>
      </c>
      <c r="G182" s="1">
        <v>1</v>
      </c>
      <c r="I182" s="1" t="s">
        <v>739</v>
      </c>
      <c r="K182" s="1" t="s">
        <v>48</v>
      </c>
      <c r="AM182" s="1">
        <v>30</v>
      </c>
      <c r="AN182" s="1">
        <v>220</v>
      </c>
      <c r="AO182" s="1">
        <v>1</v>
      </c>
      <c r="AP182" s="1">
        <v>300</v>
      </c>
      <c r="AQ182" s="2" t="s">
        <v>623</v>
      </c>
    </row>
    <row r="183" spans="1:43" ht="15" x14ac:dyDescent="0.25">
      <c r="A183" s="16" t="s">
        <v>740</v>
      </c>
      <c r="B183" s="1" t="s">
        <v>741</v>
      </c>
      <c r="C183" s="1" t="s">
        <v>742</v>
      </c>
      <c r="D183" s="1" t="str">
        <f t="shared" si="14"/>
        <v>Documents\GitHub\Ozon_upload\barcode\punky monkey\Термонаклейка Поцелуй берега и реки картина маслом.pdf</v>
      </c>
      <c r="E183" s="15" t="str">
        <f t="shared" si="13"/>
        <v>C:\Users\maxim\Documents\GitHub\Ozon_upload\DTF_images\max\A4\32_kiss_art2_250.tif</v>
      </c>
      <c r="F183" s="1">
        <v>1</v>
      </c>
      <c r="G183" s="1">
        <v>1</v>
      </c>
      <c r="I183" s="1" t="s">
        <v>743</v>
      </c>
      <c r="K183" s="1" t="s">
        <v>48</v>
      </c>
      <c r="AM183" s="1">
        <v>30</v>
      </c>
      <c r="AN183" s="1">
        <v>220</v>
      </c>
      <c r="AO183" s="1">
        <v>1</v>
      </c>
      <c r="AP183" s="1">
        <v>300</v>
      </c>
      <c r="AQ183" s="2" t="s">
        <v>623</v>
      </c>
    </row>
    <row r="184" spans="1:43" ht="15" x14ac:dyDescent="0.25">
      <c r="A184" s="16" t="s">
        <v>744</v>
      </c>
      <c r="B184" s="1" t="s">
        <v>745</v>
      </c>
      <c r="C184" s="1" t="s">
        <v>746</v>
      </c>
      <c r="D184" s="1" t="str">
        <f t="shared" si="14"/>
        <v>Documents\GitHub\Ozon_upload\barcode\punky monkey\Термонаклейка картина Поцелуй Густава Климта.pdf</v>
      </c>
      <c r="E184" s="15" t="str">
        <f t="shared" si="13"/>
        <v>C:\Users\maxim\Documents\GitHub\Ozon_upload\DTF_images\max\A4\33_kiss_art3_250.tif</v>
      </c>
      <c r="F184" s="1">
        <v>1</v>
      </c>
      <c r="G184" s="1">
        <v>1</v>
      </c>
      <c r="I184" s="1" t="s">
        <v>747</v>
      </c>
      <c r="K184" s="1" t="s">
        <v>48</v>
      </c>
      <c r="AM184" s="1">
        <v>30</v>
      </c>
      <c r="AN184" s="1">
        <v>220</v>
      </c>
      <c r="AO184" s="1">
        <v>1</v>
      </c>
      <c r="AP184" s="1">
        <v>300</v>
      </c>
      <c r="AQ184" s="2" t="s">
        <v>623</v>
      </c>
    </row>
    <row r="185" spans="1:43" ht="15" x14ac:dyDescent="0.25">
      <c r="A185" s="16" t="s">
        <v>748</v>
      </c>
      <c r="B185" s="1" t="s">
        <v>749</v>
      </c>
      <c r="C185" s="1" t="s">
        <v>750</v>
      </c>
      <c r="D185" s="1" t="str">
        <f t="shared" si="14"/>
        <v>Documents\GitHub\Ozon_upload\barcode\punky monkey\Термонаклейка Поцелуй в космосе картина маслом.pdf</v>
      </c>
      <c r="E185" s="15" t="str">
        <f t="shared" si="13"/>
        <v>C:\Users\maxim\Documents\GitHub\Ozon_upload\DTF_images\max\A4\34_kiss250.tif</v>
      </c>
      <c r="F185" s="1">
        <v>1</v>
      </c>
      <c r="G185" s="1">
        <v>1</v>
      </c>
      <c r="I185" s="1" t="s">
        <v>751</v>
      </c>
      <c r="K185" s="1" t="s">
        <v>48</v>
      </c>
      <c r="AM185" s="1">
        <v>30</v>
      </c>
      <c r="AN185" s="1">
        <v>220</v>
      </c>
      <c r="AO185" s="1">
        <v>1</v>
      </c>
      <c r="AP185" s="1">
        <v>300</v>
      </c>
      <c r="AQ185" s="2" t="s">
        <v>623</v>
      </c>
    </row>
    <row r="186" spans="1:43" ht="15" x14ac:dyDescent="0.25">
      <c r="A186" s="16" t="s">
        <v>752</v>
      </c>
      <c r="B186" s="1" t="s">
        <v>753</v>
      </c>
      <c r="C186" s="1" t="s">
        <v>754</v>
      </c>
      <c r="D186" s="1" t="str">
        <f t="shared" si="14"/>
        <v>Documents\GitHub\Ozon_upload\barcode\punky monkey\Термонаклейка Губы с чупа чупсом.pdf</v>
      </c>
      <c r="E186" s="15" t="str">
        <f t="shared" ref="E186:E204" si="15">CONCATENATE("C:\Users\maxim\Documents\GitHub\Ozon_upload\DTF_images\max\A4\",C186,".tif")</f>
        <v>C:\Users\maxim\Documents\GitHub\Ozon_upload\DTF_images\max\A4\35_leaps1_250.tif</v>
      </c>
      <c r="F186" s="1">
        <v>1</v>
      </c>
      <c r="G186" s="1">
        <v>1</v>
      </c>
      <c r="I186" s="1" t="s">
        <v>755</v>
      </c>
      <c r="K186" s="1" t="s">
        <v>48</v>
      </c>
      <c r="AM186" s="1">
        <v>30</v>
      </c>
      <c r="AN186" s="1">
        <v>220</v>
      </c>
      <c r="AO186" s="1">
        <v>1</v>
      </c>
      <c r="AP186" s="1">
        <v>300</v>
      </c>
      <c r="AQ186" s="2" t="s">
        <v>623</v>
      </c>
    </row>
    <row r="187" spans="1:43" ht="15" x14ac:dyDescent="0.25">
      <c r="A187" s="16" t="s">
        <v>756</v>
      </c>
      <c r="B187" s="1" t="s">
        <v>757</v>
      </c>
      <c r="C187" s="1" t="s">
        <v>758</v>
      </c>
      <c r="D187" s="1" t="str">
        <f t="shared" si="14"/>
        <v>Documents\GitHub\Ozon_upload\barcode\punky monkey\Термонаклейка Dolce Gabbana Дольче Габбана лимоны.pdf</v>
      </c>
      <c r="E187" s="15" t="str">
        <f t="shared" si="15"/>
        <v>C:\Users\maxim\Documents\GitHub\Ozon_upload\DTF_images\max\A4\36_lemons250.tif</v>
      </c>
      <c r="F187" s="1">
        <v>1</v>
      </c>
      <c r="G187" s="1">
        <v>1</v>
      </c>
      <c r="I187" s="1" t="s">
        <v>759</v>
      </c>
      <c r="K187" s="1" t="s">
        <v>48</v>
      </c>
      <c r="AM187" s="1">
        <v>30</v>
      </c>
      <c r="AN187" s="1">
        <v>220</v>
      </c>
      <c r="AO187" s="1">
        <v>1</v>
      </c>
      <c r="AP187" s="1">
        <v>300</v>
      </c>
      <c r="AQ187" s="2" t="s">
        <v>623</v>
      </c>
    </row>
    <row r="188" spans="1:43" ht="15" x14ac:dyDescent="0.25">
      <c r="A188" s="16" t="s">
        <v>760</v>
      </c>
      <c r="B188" s="17" t="s">
        <v>761</v>
      </c>
      <c r="C188" s="1" t="s">
        <v>762</v>
      </c>
      <c r="D188" s="1" t="str">
        <f t="shared" si="14"/>
        <v>Documents\GitHub\Ozon_upload\barcode\punky monkey\Термонаклейка надпись love любовь 3 раза.pdf</v>
      </c>
      <c r="E188" s="15" t="str">
        <f t="shared" si="15"/>
        <v>C:\Users\maxim\Documents\GitHub\Ozon_upload\DTF_images\max\A4\37_love2_250.tif</v>
      </c>
      <c r="F188" s="1">
        <v>1</v>
      </c>
      <c r="G188" s="1">
        <v>1</v>
      </c>
      <c r="I188" s="1" t="s">
        <v>763</v>
      </c>
      <c r="K188" s="1" t="s">
        <v>48</v>
      </c>
      <c r="AM188" s="1">
        <v>30</v>
      </c>
      <c r="AN188" s="1">
        <v>220</v>
      </c>
      <c r="AO188" s="1">
        <v>1</v>
      </c>
      <c r="AP188" s="1">
        <v>300</v>
      </c>
      <c r="AQ188" s="2" t="s">
        <v>623</v>
      </c>
    </row>
    <row r="189" spans="1:43" ht="15" x14ac:dyDescent="0.25">
      <c r="A189" s="16" t="s">
        <v>764</v>
      </c>
      <c r="B189" s="1" t="s">
        <v>765</v>
      </c>
      <c r="C189" s="1" t="s">
        <v>766</v>
      </c>
      <c r="D189" s="1" t="str">
        <f t="shared" si="14"/>
        <v>Documents\GitHub\Ozon_upload\barcode\punky monkey\Термонаклейка надпись love любовь.pdf</v>
      </c>
      <c r="E189" s="15" t="str">
        <f t="shared" si="15"/>
        <v>C:\Users\maxim\Documents\GitHub\Ozon_upload\DTF_images\max\A4\38_love220.tif</v>
      </c>
      <c r="F189" s="1">
        <v>1</v>
      </c>
      <c r="G189" s="1">
        <v>1</v>
      </c>
      <c r="I189" s="18" t="s">
        <v>767</v>
      </c>
      <c r="K189" s="1" t="s">
        <v>48</v>
      </c>
      <c r="AM189" s="1">
        <v>30</v>
      </c>
      <c r="AN189" s="1">
        <v>220</v>
      </c>
      <c r="AO189" s="1">
        <v>1</v>
      </c>
      <c r="AP189" s="1">
        <v>300</v>
      </c>
      <c r="AQ189" s="2" t="s">
        <v>623</v>
      </c>
    </row>
    <row r="190" spans="1:43" ht="15" x14ac:dyDescent="0.25">
      <c r="A190" s="16" t="s">
        <v>768</v>
      </c>
      <c r="B190" s="1" t="s">
        <v>769</v>
      </c>
      <c r="C190" s="1" t="s">
        <v>770</v>
      </c>
      <c r="D190" s="1" t="str">
        <f t="shared" si="14"/>
        <v>Documents\GitHub\Ozon_upload\barcode\punky monkey\Термонаклейка Мэрилин Монро Supreme Суприм глаза.pdf</v>
      </c>
      <c r="E190" s="15" t="str">
        <f t="shared" si="15"/>
        <v>C:\Users\maxim\Documents\GitHub\Ozon_upload\DTF_images\max\A4\39_MERLIN2_250.tif</v>
      </c>
      <c r="F190" s="1">
        <v>1</v>
      </c>
      <c r="G190" s="1">
        <v>1</v>
      </c>
      <c r="I190" s="1" t="s">
        <v>771</v>
      </c>
      <c r="K190" s="1" t="s">
        <v>48</v>
      </c>
      <c r="AM190" s="1">
        <v>30</v>
      </c>
      <c r="AN190" s="1">
        <v>220</v>
      </c>
      <c r="AO190" s="1">
        <v>1</v>
      </c>
      <c r="AP190" s="1">
        <v>300</v>
      </c>
      <c r="AQ190" s="2" t="s">
        <v>623</v>
      </c>
    </row>
    <row r="191" spans="1:43" ht="15" x14ac:dyDescent="0.25">
      <c r="A191" s="16" t="s">
        <v>772</v>
      </c>
      <c r="B191" s="1" t="s">
        <v>773</v>
      </c>
      <c r="C191" s="1" t="s">
        <v>774</v>
      </c>
      <c r="D191" s="1" t="str">
        <f t="shared" si="14"/>
        <v>Documents\GitHub\Ozon_upload\barcode\punky monkey\Термонаклейка Микки Маус надписи на фоне.pdf</v>
      </c>
      <c r="E191" s="15" t="str">
        <f t="shared" si="15"/>
        <v>C:\Users\maxim\Documents\GitHub\Ozon_upload\DTF_images\max\A4\40_mickey1_20.tif</v>
      </c>
      <c r="F191" s="1">
        <v>1</v>
      </c>
      <c r="G191" s="1">
        <v>1</v>
      </c>
      <c r="I191" s="1" t="s">
        <v>775</v>
      </c>
      <c r="K191" s="1" t="s">
        <v>48</v>
      </c>
      <c r="AM191" s="1">
        <v>30</v>
      </c>
      <c r="AN191" s="1">
        <v>220</v>
      </c>
      <c r="AO191" s="1">
        <v>1</v>
      </c>
      <c r="AP191" s="1">
        <v>300</v>
      </c>
      <c r="AQ191" s="2" t="s">
        <v>623</v>
      </c>
    </row>
    <row r="192" spans="1:43" ht="15" x14ac:dyDescent="0.25">
      <c r="A192" s="16" t="s">
        <v>776</v>
      </c>
      <c r="B192" s="1" t="s">
        <v>777</v>
      </c>
      <c r="C192" s="1" t="s">
        <v>778</v>
      </c>
      <c r="D192" s="1" t="str">
        <f t="shared" si="14"/>
        <v>Documents\GitHub\Ozon_upload\barcode\punky monkey\Термонаклейка картина Девушка с сережкой Билли.pdf</v>
      </c>
      <c r="E192" s="15" t="str">
        <f t="shared" si="15"/>
        <v>C:\Users\maxim\Documents\GitHub\Ozon_upload\DTF_images\max\A4\41_perl_girl_250.tif</v>
      </c>
      <c r="F192" s="1">
        <v>1</v>
      </c>
      <c r="G192" s="1">
        <v>1</v>
      </c>
      <c r="I192" s="1" t="s">
        <v>779</v>
      </c>
      <c r="K192" s="1" t="s">
        <v>48</v>
      </c>
      <c r="AM192" s="1">
        <v>30</v>
      </c>
      <c r="AN192" s="1">
        <v>220</v>
      </c>
      <c r="AO192" s="1">
        <v>1</v>
      </c>
      <c r="AP192" s="1">
        <v>300</v>
      </c>
      <c r="AQ192" s="2" t="s">
        <v>623</v>
      </c>
    </row>
    <row r="193" spans="1:43" ht="15" x14ac:dyDescent="0.25">
      <c r="A193" s="16" t="s">
        <v>780</v>
      </c>
      <c r="B193" s="1" t="s">
        <v>781</v>
      </c>
      <c r="C193" s="1" t="s">
        <v>782</v>
      </c>
      <c r="D193" s="1" t="str">
        <f t="shared" si="14"/>
        <v>Documents\GitHub\Ozon_upload\barcode\punky monkey\Термонаклейка Play Boy губы обложка губы марка.pdf</v>
      </c>
      <c r="E193" s="15" t="str">
        <f t="shared" si="15"/>
        <v>C:\Users\maxim\Documents\GitHub\Ozon_upload\DTF_images\max\A4\42_playboy250.tif</v>
      </c>
      <c r="F193" s="1">
        <v>1</v>
      </c>
      <c r="G193" s="1">
        <v>1</v>
      </c>
      <c r="I193" s="1" t="s">
        <v>783</v>
      </c>
      <c r="K193" s="1" t="s">
        <v>48</v>
      </c>
      <c r="AM193" s="1">
        <v>30</v>
      </c>
      <c r="AN193" s="1">
        <v>220</v>
      </c>
      <c r="AO193" s="1">
        <v>1</v>
      </c>
      <c r="AP193" s="1">
        <v>300</v>
      </c>
      <c r="AQ193" s="2" t="s">
        <v>623</v>
      </c>
    </row>
    <row r="194" spans="1:43" ht="15" x14ac:dyDescent="0.25">
      <c r="A194" s="16" t="s">
        <v>784</v>
      </c>
      <c r="B194" s="1" t="s">
        <v>785</v>
      </c>
      <c r="C194" s="1" t="s">
        <v>786</v>
      </c>
      <c r="D194" s="1" t="str">
        <f t="shared" si="14"/>
        <v>Documents\GitHub\Ozon_upload\barcode\punky monkey\Термонаклейка Змеи Змея на розовом фоне паттерн.pdf</v>
      </c>
      <c r="E194" s="15" t="str">
        <f t="shared" si="15"/>
        <v>C:\Users\maxim\Documents\GitHub\Ozon_upload\DTF_images\max\A4\43_snake250.tif</v>
      </c>
      <c r="F194" s="1">
        <v>1</v>
      </c>
      <c r="G194" s="1">
        <v>1</v>
      </c>
      <c r="I194" s="1" t="s">
        <v>787</v>
      </c>
      <c r="K194" s="1" t="s">
        <v>48</v>
      </c>
      <c r="AM194" s="1">
        <v>30</v>
      </c>
      <c r="AN194" s="1">
        <v>220</v>
      </c>
      <c r="AO194" s="1">
        <v>1</v>
      </c>
      <c r="AP194" s="1">
        <v>300</v>
      </c>
      <c r="AQ194" s="2" t="s">
        <v>623</v>
      </c>
    </row>
    <row r="195" spans="1:43" ht="15" x14ac:dyDescent="0.25">
      <c r="A195" s="16" t="s">
        <v>788</v>
      </c>
      <c r="B195" s="1" t="s">
        <v>789</v>
      </c>
      <c r="C195" s="1" t="s">
        <v>790</v>
      </c>
      <c r="D195" s="1" t="str">
        <f t="shared" si="14"/>
        <v>Documents\GitHub\Ozon_upload\barcode\punky monkey\Термонаклейка Солнце Цветок в ретро.pdf</v>
      </c>
      <c r="E195" s="15" t="str">
        <f t="shared" si="15"/>
        <v>C:\Users\maxim\Documents\GitHub\Ozon_upload\DTF_images\max\A4\44_sun1_250.tif</v>
      </c>
      <c r="F195" s="1">
        <v>1</v>
      </c>
      <c r="G195" s="1">
        <v>1</v>
      </c>
      <c r="I195" s="1" t="s">
        <v>791</v>
      </c>
      <c r="K195" s="1" t="s">
        <v>48</v>
      </c>
      <c r="AM195" s="1">
        <v>30</v>
      </c>
      <c r="AN195" s="1">
        <v>220</v>
      </c>
      <c r="AO195" s="1">
        <v>1</v>
      </c>
      <c r="AP195" s="1">
        <v>300</v>
      </c>
      <c r="AQ195" s="2" t="s">
        <v>623</v>
      </c>
    </row>
    <row r="196" spans="1:43" ht="15" x14ac:dyDescent="0.25">
      <c r="A196" s="16" t="s">
        <v>792</v>
      </c>
      <c r="B196" s="1" t="s">
        <v>793</v>
      </c>
      <c r="C196" s="1" t="s">
        <v>794</v>
      </c>
      <c r="D196" s="1" t="str">
        <f t="shared" si="14"/>
        <v>Documents\GitHub\Ozon_upload\barcode\punky monkey\Термонаклейка Тигр розовый крупный план.pdf</v>
      </c>
      <c r="E196" s="15" t="str">
        <f t="shared" si="15"/>
        <v>C:\Users\maxim\Documents\GitHub\Ozon_upload\DTF_images\max\A4\45_tiger_face_260.tif</v>
      </c>
      <c r="F196" s="1">
        <v>1</v>
      </c>
      <c r="G196" s="1">
        <v>1</v>
      </c>
      <c r="I196" s="1" t="s">
        <v>795</v>
      </c>
      <c r="K196" s="1" t="s">
        <v>48</v>
      </c>
      <c r="AM196" s="1">
        <v>30</v>
      </c>
      <c r="AN196" s="1">
        <v>220</v>
      </c>
      <c r="AO196" s="1">
        <v>1</v>
      </c>
      <c r="AP196" s="1">
        <v>300</v>
      </c>
      <c r="AQ196" s="2" t="s">
        <v>628</v>
      </c>
    </row>
    <row r="197" spans="1:43" ht="15" x14ac:dyDescent="0.25">
      <c r="A197" s="16" t="s">
        <v>796</v>
      </c>
      <c r="B197" s="1" t="s">
        <v>797</v>
      </c>
      <c r="C197" s="1" t="s">
        <v>798</v>
      </c>
      <c r="D197" s="1" t="str">
        <f t="shared" si="14"/>
        <v>Documents\GitHub\Ozon_upload\barcode\punky monkey\Термонаклейка Леопард розовый крупный план.pdf</v>
      </c>
      <c r="E197" s="15" t="str">
        <f t="shared" si="15"/>
        <v>C:\Users\maxim\Documents\GitHub\Ozon_upload\DTF_images\max\A4\46_tiger_pink250.tif</v>
      </c>
      <c r="F197" s="1">
        <v>1</v>
      </c>
      <c r="G197" s="1">
        <v>1</v>
      </c>
      <c r="I197" s="1" t="s">
        <v>799</v>
      </c>
      <c r="K197" s="1" t="s">
        <v>48</v>
      </c>
      <c r="AM197" s="1">
        <v>30</v>
      </c>
      <c r="AN197" s="1">
        <v>220</v>
      </c>
      <c r="AO197" s="1">
        <v>1</v>
      </c>
      <c r="AP197" s="1">
        <v>300</v>
      </c>
      <c r="AQ197" s="2" t="s">
        <v>623</v>
      </c>
    </row>
    <row r="198" spans="1:43" ht="15" x14ac:dyDescent="0.25">
      <c r="A198" s="16" t="s">
        <v>800</v>
      </c>
      <c r="B198" s="1" t="s">
        <v>801</v>
      </c>
      <c r="C198" s="1" t="s">
        <v>802</v>
      </c>
      <c r="D198" s="1" t="str">
        <f t="shared" si="14"/>
        <v>Documents\GitHub\Ozon_upload\barcode\punky monkey\Термонаклейка Кит в море картина маслом.pdf</v>
      </c>
      <c r="E198" s="15" t="str">
        <f t="shared" si="15"/>
        <v>C:\Users\maxim\Documents\GitHub\Ozon_upload\DTF_images\max\A4\47_whale_226.tif</v>
      </c>
      <c r="F198" s="1">
        <v>1</v>
      </c>
      <c r="G198" s="1">
        <v>1</v>
      </c>
      <c r="I198" s="1" t="s">
        <v>803</v>
      </c>
      <c r="K198" s="1" t="s">
        <v>48</v>
      </c>
      <c r="AM198" s="1">
        <v>30</v>
      </c>
      <c r="AN198" s="1">
        <v>220</v>
      </c>
      <c r="AO198" s="1">
        <v>1</v>
      </c>
      <c r="AP198" s="1">
        <v>300</v>
      </c>
      <c r="AQ198" s="2" t="s">
        <v>623</v>
      </c>
    </row>
    <row r="199" spans="1:43" ht="15" x14ac:dyDescent="0.25">
      <c r="A199" s="16" t="s">
        <v>804</v>
      </c>
      <c r="B199" s="1" t="s">
        <v>805</v>
      </c>
      <c r="C199" s="1" t="s">
        <v>806</v>
      </c>
      <c r="D199" s="1" t="str">
        <f t="shared" si="14"/>
        <v>Documents\GitHub\Ozon_upload\barcode\punky monkey\Термонаклейка Бокал красного вина сердце.pdf</v>
      </c>
      <c r="E199" s="15" t="str">
        <f t="shared" si="15"/>
        <v>C:\Users\maxim\Documents\GitHub\Ozon_upload\DTF_images\max\A4\48_wine250.tif</v>
      </c>
      <c r="F199" s="1">
        <v>1</v>
      </c>
      <c r="G199" s="1">
        <v>1</v>
      </c>
      <c r="I199" s="1" t="s">
        <v>807</v>
      </c>
      <c r="K199" s="1" t="s">
        <v>48</v>
      </c>
      <c r="AM199" s="1">
        <v>30</v>
      </c>
      <c r="AN199" s="1">
        <v>220</v>
      </c>
      <c r="AO199" s="1">
        <v>1</v>
      </c>
      <c r="AP199" s="1">
        <v>300</v>
      </c>
      <c r="AQ199" s="2" t="s">
        <v>623</v>
      </c>
    </row>
    <row r="200" spans="1:43" ht="15" x14ac:dyDescent="0.25">
      <c r="A200" s="16" t="s">
        <v>808</v>
      </c>
      <c r="B200" s="1" t="s">
        <v>809</v>
      </c>
      <c r="C200" s="1" t="s">
        <v>810</v>
      </c>
      <c r="D200" s="1" t="str">
        <f t="shared" si="14"/>
        <v>Documents\GitHub\Ozon_upload\barcode\punky monkey\Термонаклейка Джокер поп арт Joker.pdf</v>
      </c>
      <c r="E200" s="15" t="str">
        <f t="shared" si="15"/>
        <v>C:\Users\maxim\Documents\GitHub\Ozon_upload\DTF_images\max\A4\49_ZEE_Why_So_Serious_250.tif</v>
      </c>
      <c r="F200" s="1">
        <v>1</v>
      </c>
      <c r="G200" s="1">
        <v>1</v>
      </c>
      <c r="I200" s="1" t="s">
        <v>811</v>
      </c>
      <c r="K200" s="1" t="s">
        <v>48</v>
      </c>
      <c r="AM200" s="1">
        <v>30</v>
      </c>
      <c r="AN200" s="1">
        <v>220</v>
      </c>
      <c r="AO200" s="1">
        <v>1</v>
      </c>
      <c r="AP200" s="1">
        <v>300</v>
      </c>
      <c r="AQ200" s="2" t="s">
        <v>623</v>
      </c>
    </row>
    <row r="201" spans="1:43" ht="15" x14ac:dyDescent="0.25">
      <c r="A201" s="16" t="s">
        <v>812</v>
      </c>
      <c r="B201" s="1" t="s">
        <v>813</v>
      </c>
      <c r="C201" s="1" t="s">
        <v>814</v>
      </c>
      <c r="D201" s="1" t="str">
        <f t="shared" si="14"/>
        <v>Documents\GitHub\Ozon_upload\barcode\punky monkey\Термонаклейка Одри Хепбёрн поп арт.pdf</v>
      </c>
      <c r="E201" s="15" t="str">
        <f t="shared" si="15"/>
        <v>C:\Users\maxim\Documents\GitHub\Ozon_upload\DTF_images\max\A4\50_Audrey Hepburn.tif</v>
      </c>
      <c r="F201" s="1">
        <v>1</v>
      </c>
      <c r="G201" s="1">
        <v>1</v>
      </c>
      <c r="I201" s="1" t="s">
        <v>815</v>
      </c>
      <c r="K201" s="1" t="s">
        <v>48</v>
      </c>
      <c r="AM201" s="1">
        <v>30</v>
      </c>
      <c r="AN201" s="1">
        <v>220</v>
      </c>
      <c r="AO201" s="1">
        <v>1</v>
      </c>
      <c r="AP201" s="1">
        <v>300</v>
      </c>
      <c r="AQ201" s="2" t="s">
        <v>623</v>
      </c>
    </row>
    <row r="202" spans="1:43" ht="15" x14ac:dyDescent="0.25">
      <c r="A202" s="16" t="s">
        <v>816</v>
      </c>
      <c r="B202" s="1" t="s">
        <v>817</v>
      </c>
      <c r="C202" s="1" t="s">
        <v>818</v>
      </c>
      <c r="D202" s="1" t="str">
        <f t="shared" si="14"/>
        <v>Documents\GitHub\Ozon_upload\barcode\punky monkey\Термонаклейка Мона Лиза, Фрида Кало свадьба.pdf</v>
      </c>
      <c r="E202" s="15" t="str">
        <f t="shared" si="15"/>
        <v>C:\Users\maxim\Documents\GitHub\Ozon_upload\DTF_images\max\A4\51_monalisa_wedding.tif</v>
      </c>
      <c r="F202" s="1">
        <v>1</v>
      </c>
      <c r="G202" s="1">
        <v>1</v>
      </c>
      <c r="I202" s="1" t="s">
        <v>819</v>
      </c>
      <c r="K202" s="1" t="s">
        <v>48</v>
      </c>
      <c r="AM202" s="1">
        <v>30</v>
      </c>
      <c r="AN202" s="1">
        <v>220</v>
      </c>
      <c r="AO202" s="1">
        <v>1</v>
      </c>
      <c r="AP202" s="1">
        <v>300</v>
      </c>
      <c r="AQ202" s="2" t="s">
        <v>623</v>
      </c>
    </row>
    <row r="203" spans="1:43" ht="15" x14ac:dyDescent="0.25">
      <c r="A203" s="16" t="s">
        <v>820</v>
      </c>
      <c r="B203" s="17" t="s">
        <v>821</v>
      </c>
      <c r="C203" s="1" t="s">
        <v>822</v>
      </c>
      <c r="D203" s="1" t="str">
        <f t="shared" si="14"/>
        <v>Documents\GitHub\Ozon_upload\barcode\punky monkey\Термонаклейка Мона Лиза, Фрида Кало, коктели.pdf</v>
      </c>
      <c r="E203" s="15" t="str">
        <f t="shared" si="15"/>
        <v>C:\Users\maxim\Documents\GitHub\Ozon_upload\DTF_images\max\A4\52_monalisa_cocktails.tif</v>
      </c>
      <c r="F203" s="1">
        <v>1</v>
      </c>
      <c r="G203" s="1">
        <v>1</v>
      </c>
      <c r="I203" s="1" t="s">
        <v>823</v>
      </c>
      <c r="K203" s="1" t="s">
        <v>48</v>
      </c>
      <c r="AM203" s="1">
        <v>30</v>
      </c>
      <c r="AN203" s="1">
        <v>220</v>
      </c>
      <c r="AO203" s="1">
        <v>1</v>
      </c>
      <c r="AP203" s="1">
        <v>300</v>
      </c>
      <c r="AQ203" s="2" t="s">
        <v>623</v>
      </c>
    </row>
    <row r="204" spans="1:43" ht="26.25" x14ac:dyDescent="0.25">
      <c r="A204" s="16" t="s">
        <v>824</v>
      </c>
      <c r="B204" s="1" t="s">
        <v>825</v>
      </c>
      <c r="C204" s="17" t="s">
        <v>826</v>
      </c>
      <c r="D204" s="1" t="str">
        <f t="shared" si="14"/>
        <v>Documents\GitHub\Ozon_upload\barcode\punky monkey\Термонаклейка Киллиан Мёрфи Острые козырьки.pdf</v>
      </c>
      <c r="E204" s="15" t="str">
        <f t="shared" si="15"/>
        <v>C:\Users\maxim\Documents\GitHub\Ozon_upload\DTF_images\max\A4\53_Cillian_Murphy_popart.tif</v>
      </c>
      <c r="F204" s="1">
        <v>1</v>
      </c>
      <c r="G204" s="1">
        <v>1</v>
      </c>
      <c r="I204" s="1" t="s">
        <v>827</v>
      </c>
      <c r="K204" s="1" t="s">
        <v>48</v>
      </c>
      <c r="AM204" s="1">
        <v>30</v>
      </c>
      <c r="AN204" s="1">
        <v>220</v>
      </c>
      <c r="AO204" s="1">
        <v>1</v>
      </c>
      <c r="AP204" s="1">
        <v>300</v>
      </c>
      <c r="AQ204" s="2" t="s">
        <v>623</v>
      </c>
    </row>
    <row r="205" spans="1:43" ht="15" x14ac:dyDescent="0.25">
      <c r="A205" s="16" t="s">
        <v>828</v>
      </c>
      <c r="B205" s="1" t="s">
        <v>829</v>
      </c>
      <c r="C205" s="19" t="s">
        <v>830</v>
      </c>
      <c r="D205" s="1" t="str">
        <f t="shared" si="14"/>
        <v>Documents\GitHub\Ozon_upload\barcode\punky monkey\Термонаклейка Джон уик john wick дым из глаз.pdf</v>
      </c>
      <c r="E205" s="1" t="str">
        <f>CONCATENATE("C:\work\baby prints\MainTop\tif\A4\",C205,".tif")</f>
        <v>C:\work\baby prints\MainTop\tif\A4\54_john_wick_smoke.tif</v>
      </c>
      <c r="F205" s="1">
        <v>1</v>
      </c>
      <c r="G205" s="1">
        <v>1</v>
      </c>
      <c r="I205" s="1" t="s">
        <v>622</v>
      </c>
      <c r="K205" s="1" t="s">
        <v>48</v>
      </c>
      <c r="AM205" s="1">
        <v>30</v>
      </c>
      <c r="AN205" s="1">
        <v>220</v>
      </c>
      <c r="AO205" s="1">
        <v>1</v>
      </c>
      <c r="AP205" s="1">
        <v>300</v>
      </c>
      <c r="AQ205" s="2" t="s">
        <v>623</v>
      </c>
    </row>
    <row r="206" spans="1:43" x14ac:dyDescent="0.2">
      <c r="A206" s="18" t="s">
        <v>831</v>
      </c>
      <c r="B206" s="17" t="s">
        <v>832</v>
      </c>
      <c r="C206" s="1" t="s">
        <v>833</v>
      </c>
      <c r="D206" s="1" t="str">
        <f t="shared" si="14"/>
        <v>Documents\GitHub\Ozon_upload\barcode\punky monkey\Термонаклейка Космонавт на луне ловит звезды.pdf</v>
      </c>
      <c r="E206" s="20" t="str">
        <f t="shared" ref="E206:E244" si="16">CONCATENATE("C:\Users\maxim\Documents\GitHub\Ozon_upload\DTF_images\max\dtf_a5\pack2\",C206,".tif")</f>
        <v>C:\Users\maxim\Documents\GitHub\Ozon_upload\DTF_images\max\dtf_a5\pack2\astronaut_a_horiz.tif</v>
      </c>
      <c r="F206" s="1">
        <v>1</v>
      </c>
      <c r="G206" s="1">
        <v>2</v>
      </c>
      <c r="I206" s="1" t="s">
        <v>834</v>
      </c>
      <c r="K206" s="1" t="s">
        <v>48</v>
      </c>
      <c r="AM206" s="1">
        <v>16</v>
      </c>
      <c r="AN206" s="1">
        <v>180</v>
      </c>
      <c r="AO206" s="1">
        <v>1</v>
      </c>
      <c r="AP206" s="1">
        <v>250</v>
      </c>
      <c r="AQ206" s="2" t="s">
        <v>554</v>
      </c>
    </row>
    <row r="207" spans="1:43" x14ac:dyDescent="0.2">
      <c r="A207" s="12" t="s">
        <v>835</v>
      </c>
      <c r="B207" s="1" t="s">
        <v>836</v>
      </c>
      <c r="C207" s="1" t="s">
        <v>837</v>
      </c>
      <c r="D207" s="1" t="str">
        <f t="shared" si="14"/>
        <v>Documents\GitHub\Ozon_upload\barcode\punky monkey\Термонаклейка Кот вцепился сползает вниз.pdf</v>
      </c>
      <c r="E207" s="20" t="str">
        <f t="shared" si="16"/>
        <v>C:\Users\maxim\Documents\GitHub\Ozon_upload\DTF_images\max\dtf_a5\pack2\cat_clow_vert.tif</v>
      </c>
      <c r="F207" s="1">
        <v>0</v>
      </c>
      <c r="G207" s="1">
        <v>2</v>
      </c>
      <c r="I207" s="1" t="s">
        <v>838</v>
      </c>
      <c r="K207" s="1" t="s">
        <v>48</v>
      </c>
      <c r="AM207" s="1">
        <v>16</v>
      </c>
      <c r="AN207" s="1">
        <v>180</v>
      </c>
      <c r="AO207" s="1">
        <v>1</v>
      </c>
      <c r="AP207" s="1">
        <v>250</v>
      </c>
      <c r="AQ207" s="2" t="s">
        <v>554</v>
      </c>
    </row>
    <row r="208" spans="1:43" x14ac:dyDescent="0.2">
      <c r="A208" s="12" t="s">
        <v>839</v>
      </c>
      <c r="B208" s="1" t="s">
        <v>840</v>
      </c>
      <c r="C208" s="1" t="s">
        <v>841</v>
      </c>
      <c r="D208" s="1" t="str">
        <f t="shared" si="14"/>
        <v>Documents\GitHub\Ozon_upload\barcode\punky monkey\Термонаклейка Котенок выглядывает из стены.pdf</v>
      </c>
      <c r="E208" s="20" t="str">
        <f t="shared" si="16"/>
        <v>C:\Users\maxim\Documents\GitHub\Ozon_upload\DTF_images\max\dtf_a5\pack2\cat_wall_a_vert.tif</v>
      </c>
      <c r="F208" s="1">
        <v>0</v>
      </c>
      <c r="G208" s="1">
        <v>2</v>
      </c>
      <c r="I208" s="1" t="s">
        <v>842</v>
      </c>
      <c r="K208" s="1" t="s">
        <v>48</v>
      </c>
      <c r="AM208" s="1">
        <v>16</v>
      </c>
      <c r="AN208" s="1">
        <v>180</v>
      </c>
      <c r="AO208" s="1">
        <v>1</v>
      </c>
      <c r="AP208" s="1">
        <v>250</v>
      </c>
      <c r="AQ208" s="2" t="s">
        <v>554</v>
      </c>
    </row>
    <row r="209" spans="1:43" x14ac:dyDescent="0.2">
      <c r="A209" s="12" t="s">
        <v>843</v>
      </c>
      <c r="B209" s="1" t="s">
        <v>844</v>
      </c>
      <c r="C209" s="1" t="s">
        <v>845</v>
      </c>
      <c r="D209" s="1" t="str">
        <f t="shared" si="14"/>
        <v>Documents\GitHub\Ozon_upload\barcode\punky monkey\Термонаклейка Динозавр голова из стены.pdf</v>
      </c>
      <c r="E209" s="20" t="str">
        <f t="shared" si="16"/>
        <v>C:\Users\maxim\Documents\GitHub\Ozon_upload\DTF_images\max\dtf_a5\pack2\dino_a_vert.tif</v>
      </c>
      <c r="F209" s="1">
        <v>0</v>
      </c>
      <c r="G209" s="1">
        <v>2</v>
      </c>
      <c r="I209" s="1" t="s">
        <v>846</v>
      </c>
      <c r="K209" s="1" t="s">
        <v>48</v>
      </c>
      <c r="AM209" s="1">
        <v>16</v>
      </c>
      <c r="AN209" s="1">
        <v>180</v>
      </c>
      <c r="AO209" s="1">
        <v>1</v>
      </c>
      <c r="AP209" s="1">
        <v>250</v>
      </c>
      <c r="AQ209" s="2" t="s">
        <v>554</v>
      </c>
    </row>
    <row r="210" spans="1:43" x14ac:dyDescent="0.2">
      <c r="A210" s="12" t="s">
        <v>847</v>
      </c>
      <c r="B210" s="1" t="s">
        <v>848</v>
      </c>
      <c r="C210" s="1" t="s">
        <v>849</v>
      </c>
      <c r="D210" s="1" t="str">
        <f t="shared" si="14"/>
        <v>Documents\GitHub\Ozon_upload\barcode\punky monkey\Термонаклейка Дракон полностью сломал стену.pdf</v>
      </c>
      <c r="E210" s="20" t="str">
        <f t="shared" si="16"/>
        <v>C:\Users\maxim\Documents\GitHub\Ozon_upload\DTF_images\max\dtf_a5\pack2\dino_b_vert.tif</v>
      </c>
      <c r="F210" s="1">
        <v>0</v>
      </c>
      <c r="G210" s="1">
        <v>2</v>
      </c>
      <c r="I210" s="1" t="s">
        <v>850</v>
      </c>
      <c r="K210" s="1" t="s">
        <v>48</v>
      </c>
      <c r="AM210" s="1">
        <v>16</v>
      </c>
      <c r="AN210" s="1">
        <v>180</v>
      </c>
      <c r="AO210" s="1">
        <v>1</v>
      </c>
      <c r="AP210" s="1">
        <v>250</v>
      </c>
      <c r="AQ210" s="2" t="s">
        <v>554</v>
      </c>
    </row>
    <row r="211" spans="1:43" x14ac:dyDescent="0.2">
      <c r="A211" s="12" t="s">
        <v>851</v>
      </c>
      <c r="B211" s="1" t="s">
        <v>852</v>
      </c>
      <c r="C211" s="1" t="s">
        <v>853</v>
      </c>
      <c r="D211" s="1" t="str">
        <f t="shared" si="14"/>
        <v>Documents\GitHub\Ozon_upload\barcode\punky monkey\Термонаклейка Собачка с букетом цветов.pdf</v>
      </c>
      <c r="E211" s="20" t="str">
        <f t="shared" si="16"/>
        <v>C:\Users\maxim\Documents\GitHub\Ozon_upload\DTF_images\max\dtf_a5\pack2\dog_a_vert.tif</v>
      </c>
      <c r="F211" s="1">
        <v>0</v>
      </c>
      <c r="G211" s="1">
        <v>2</v>
      </c>
      <c r="I211" s="1" t="s">
        <v>854</v>
      </c>
      <c r="K211" s="1" t="s">
        <v>48</v>
      </c>
      <c r="AM211" s="1">
        <v>16</v>
      </c>
      <c r="AN211" s="1">
        <v>180</v>
      </c>
      <c r="AO211" s="1">
        <v>1</v>
      </c>
      <c r="AP211" s="1">
        <v>250</v>
      </c>
      <c r="AQ211" s="2" t="s">
        <v>554</v>
      </c>
    </row>
    <row r="212" spans="1:43" x14ac:dyDescent="0.2">
      <c r="A212" s="12" t="s">
        <v>855</v>
      </c>
      <c r="B212" s="1" t="s">
        <v>856</v>
      </c>
      <c r="C212" s="1" t="s">
        <v>857</v>
      </c>
      <c r="D212" s="1" t="str">
        <f t="shared" ref="D212:D243" si="17">CONCATENATE("Documents\GitHub\Ozon_upload\barcode\punky monkey\", A212, ".pdf")</f>
        <v>Documents\GitHub\Ozon_upload\barcode\punky monkey\Термонаклейка Эльза холодное сердце.pdf</v>
      </c>
      <c r="E212" s="20" t="str">
        <f t="shared" si="16"/>
        <v>C:\Users\maxim\Documents\GitHub\Ozon_upload\DTF_images\max\dtf_a5\pack2\elsa_a_horiz.tif</v>
      </c>
      <c r="F212" s="1">
        <v>1</v>
      </c>
      <c r="G212" s="1">
        <v>2</v>
      </c>
      <c r="I212" s="1" t="s">
        <v>858</v>
      </c>
      <c r="K212" s="1" t="s">
        <v>48</v>
      </c>
      <c r="AM212" s="1">
        <v>16</v>
      </c>
      <c r="AN212" s="1">
        <v>180</v>
      </c>
      <c r="AO212" s="1">
        <v>1</v>
      </c>
      <c r="AP212" s="1">
        <v>250</v>
      </c>
      <c r="AQ212" s="2" t="s">
        <v>554</v>
      </c>
    </row>
    <row r="213" spans="1:43" x14ac:dyDescent="0.2">
      <c r="A213" s="12" t="s">
        <v>859</v>
      </c>
      <c r="B213" s="1" t="s">
        <v>860</v>
      </c>
      <c r="C213" s="1" t="s">
        <v>861</v>
      </c>
      <c r="D213" s="1" t="str">
        <f t="shared" si="17"/>
        <v>Documents\GitHub\Ozon_upload\barcode\punky monkey\Термонаклейка Эльза и Анна вместе холодное сердце.pdf</v>
      </c>
      <c r="E213" s="20" t="str">
        <f t="shared" si="16"/>
        <v>C:\Users\maxim\Documents\GitHub\Ozon_upload\DTF_images\max\dtf_a5\pack2\elsa_b_horiz.tif</v>
      </c>
      <c r="F213" s="1">
        <v>1</v>
      </c>
      <c r="G213" s="1">
        <v>2</v>
      </c>
      <c r="I213" s="1" t="s">
        <v>862</v>
      </c>
      <c r="K213" s="1" t="s">
        <v>48</v>
      </c>
      <c r="AM213" s="1">
        <v>16</v>
      </c>
      <c r="AN213" s="1">
        <v>180</v>
      </c>
      <c r="AO213" s="1">
        <v>1</v>
      </c>
      <c r="AP213" s="1">
        <v>250</v>
      </c>
      <c r="AQ213" s="2" t="s">
        <v>554</v>
      </c>
    </row>
    <row r="214" spans="1:43" x14ac:dyDescent="0.2">
      <c r="A214" s="12" t="s">
        <v>863</v>
      </c>
      <c r="B214" s="1" t="s">
        <v>864</v>
      </c>
      <c r="C214" s="1" t="s">
        <v>865</v>
      </c>
      <c r="D214" s="1" t="str">
        <f t="shared" si="17"/>
        <v>Documents\GitHub\Ozon_upload\barcode\punky monkey\Термонаклейка Том и Джерри в очках.pdf</v>
      </c>
      <c r="E214" s="20" t="str">
        <f t="shared" si="16"/>
        <v>C:\Users\maxim\Documents\GitHub\Ozon_upload\DTF_images\max\dtf_a5\pack2\jerry_a_vert.tif</v>
      </c>
      <c r="F214" s="1">
        <v>0</v>
      </c>
      <c r="G214" s="1">
        <v>2</v>
      </c>
      <c r="I214" s="1" t="s">
        <v>866</v>
      </c>
      <c r="K214" s="1" t="s">
        <v>48</v>
      </c>
      <c r="AM214" s="1">
        <v>16</v>
      </c>
      <c r="AN214" s="1">
        <v>180</v>
      </c>
      <c r="AO214" s="1">
        <v>1</v>
      </c>
      <c r="AP214" s="1">
        <v>250</v>
      </c>
      <c r="AQ214" s="2" t="s">
        <v>554</v>
      </c>
    </row>
    <row r="215" spans="1:43" x14ac:dyDescent="0.2">
      <c r="A215" s="12" t="s">
        <v>867</v>
      </c>
      <c r="B215" s="1" t="s">
        <v>868</v>
      </c>
      <c r="C215" s="1" t="s">
        <v>869</v>
      </c>
      <c r="D215" s="1" t="str">
        <f t="shared" si="17"/>
        <v>Documents\GitHub\Ozon_upload\barcode\punky monkey\Термонаклейка Жираф с цветком во рту.pdf</v>
      </c>
      <c r="E215" s="20" t="str">
        <f t="shared" si="16"/>
        <v>C:\Users\maxim\Documents\GitHub\Ozon_upload\DTF_images\max\dtf_a5\pack2\jiraph_a_vert.tif</v>
      </c>
      <c r="F215" s="1">
        <v>0</v>
      </c>
      <c r="G215" s="1">
        <v>2</v>
      </c>
      <c r="I215" s="1" t="s">
        <v>870</v>
      </c>
      <c r="K215" s="1" t="s">
        <v>48</v>
      </c>
      <c r="AM215" s="1">
        <v>16</v>
      </c>
      <c r="AN215" s="1">
        <v>180</v>
      </c>
      <c r="AO215" s="1">
        <v>1</v>
      </c>
      <c r="AP215" s="1">
        <v>250</v>
      </c>
      <c r="AQ215" s="2" t="s">
        <v>554</v>
      </c>
    </row>
    <row r="216" spans="1:43" x14ac:dyDescent="0.2">
      <c r="A216" s="12" t="s">
        <v>871</v>
      </c>
      <c r="B216" s="1" t="s">
        <v>872</v>
      </c>
      <c r="C216" s="1" t="s">
        <v>873</v>
      </c>
      <c r="D216" s="1" t="str">
        <f t="shared" si="17"/>
        <v>Documents\GitHub\Ozon_upload\barcode\punky monkey\Термонаклейка Марвел супергерои круг.pdf</v>
      </c>
      <c r="E216" s="20" t="str">
        <f t="shared" si="16"/>
        <v>C:\Users\maxim\Documents\GitHub\Ozon_upload\DTF_images\max\dtf_a5\pack2\marvel_a_vert.tif</v>
      </c>
      <c r="F216" s="1">
        <v>0</v>
      </c>
      <c r="G216" s="1">
        <v>2</v>
      </c>
      <c r="I216" s="1" t="s">
        <v>874</v>
      </c>
      <c r="K216" s="1" t="s">
        <v>48</v>
      </c>
      <c r="AM216" s="1">
        <v>16</v>
      </c>
      <c r="AN216" s="1">
        <v>180</v>
      </c>
      <c r="AO216" s="1">
        <v>1</v>
      </c>
      <c r="AP216" s="1">
        <v>250</v>
      </c>
      <c r="AQ216" s="2" t="s">
        <v>554</v>
      </c>
    </row>
    <row r="217" spans="1:43" x14ac:dyDescent="0.2">
      <c r="A217" s="12" t="s">
        <v>875</v>
      </c>
      <c r="B217" s="1" t="s">
        <v>876</v>
      </c>
      <c r="C217" s="1" t="s">
        <v>877</v>
      </c>
      <c r="D217" s="1" t="str">
        <f t="shared" si="17"/>
        <v>Documents\GitHub\Ozon_upload\barcode\punky monkey\Термонаклейка Марвел супергерои и надпись.pdf</v>
      </c>
      <c r="E217" s="20" t="str">
        <f t="shared" si="16"/>
        <v>C:\Users\maxim\Documents\GitHub\Ozon_upload\DTF_images\max\dtf_a5\pack2\marvel_b_horiz.tif</v>
      </c>
      <c r="F217" s="1">
        <v>1</v>
      </c>
      <c r="G217" s="1">
        <v>2</v>
      </c>
      <c r="I217" s="1" t="s">
        <v>878</v>
      </c>
      <c r="K217" s="1" t="s">
        <v>48</v>
      </c>
      <c r="AM217" s="1">
        <v>16</v>
      </c>
      <c r="AN217" s="1">
        <v>180</v>
      </c>
      <c r="AO217" s="1">
        <v>1</v>
      </c>
      <c r="AP217" s="1">
        <v>250</v>
      </c>
      <c r="AQ217" s="2" t="s">
        <v>554</v>
      </c>
    </row>
    <row r="218" spans="1:43" x14ac:dyDescent="0.2">
      <c r="A218" s="12" t="s">
        <v>879</v>
      </c>
      <c r="B218" s="1" t="s">
        <v>880</v>
      </c>
      <c r="C218" s="1" t="s">
        <v>881</v>
      </c>
      <c r="D218" s="1" t="str">
        <f t="shared" si="17"/>
        <v>Documents\GitHub\Ozon_upload\barcode\punky monkey\Термонаклейка Русалочка акварелью.pdf</v>
      </c>
      <c r="E218" s="20" t="str">
        <f t="shared" si="16"/>
        <v>C:\Users\maxim\Documents\GitHub\Ozon_upload\DTF_images\max\dtf_a5\pack2\mermaid_a_vert.tif</v>
      </c>
      <c r="F218" s="1">
        <v>0</v>
      </c>
      <c r="G218" s="1">
        <v>2</v>
      </c>
      <c r="I218" s="1" t="s">
        <v>882</v>
      </c>
      <c r="K218" s="1" t="s">
        <v>48</v>
      </c>
      <c r="AM218" s="1">
        <v>16</v>
      </c>
      <c r="AN218" s="1">
        <v>180</v>
      </c>
      <c r="AO218" s="1">
        <v>1</v>
      </c>
      <c r="AP218" s="1">
        <v>250</v>
      </c>
      <c r="AQ218" s="2" t="s">
        <v>554</v>
      </c>
    </row>
    <row r="219" spans="1:43" x14ac:dyDescent="0.2">
      <c r="A219" s="12" t="s">
        <v>883</v>
      </c>
      <c r="B219" s="1" t="s">
        <v>884</v>
      </c>
      <c r="C219" s="1" t="s">
        <v>885</v>
      </c>
      <c r="D219" s="1" t="str">
        <f t="shared" si="17"/>
        <v>Documents\GitHub\Ozon_upload\barcode\punky monkey\Термонаклейка Микки Маус руки в стороны надпись.pdf</v>
      </c>
      <c r="E219" s="20" t="str">
        <f t="shared" si="16"/>
        <v>C:\Users\maxim\Documents\GitHub\Ozon_upload\DTF_images\max\dtf_a5\pack2\mickey_a_vert.tif</v>
      </c>
      <c r="F219" s="1">
        <v>0</v>
      </c>
      <c r="G219" s="1">
        <v>2</v>
      </c>
      <c r="I219" s="1" t="s">
        <v>886</v>
      </c>
      <c r="K219" s="1" t="s">
        <v>48</v>
      </c>
      <c r="AM219" s="1">
        <v>16</v>
      </c>
      <c r="AN219" s="1">
        <v>180</v>
      </c>
      <c r="AO219" s="1">
        <v>1</v>
      </c>
      <c r="AP219" s="1">
        <v>250</v>
      </c>
      <c r="AQ219" s="2" t="s">
        <v>554</v>
      </c>
    </row>
    <row r="220" spans="1:43" x14ac:dyDescent="0.2">
      <c r="A220" s="12" t="s">
        <v>887</v>
      </c>
      <c r="B220" s="1" t="s">
        <v>888</v>
      </c>
      <c r="C220" s="1" t="s">
        <v>889</v>
      </c>
      <c r="D220" s="1" t="str">
        <f t="shared" si="17"/>
        <v>Documents\GitHub\Ozon_upload\barcode\punky monkey\Термонаклейка Микки Маус подмигивает синий круг.pdf</v>
      </c>
      <c r="E220" s="20" t="str">
        <f t="shared" si="16"/>
        <v>C:\Users\maxim\Documents\GitHub\Ozon_upload\DTF_images\max\dtf_a5\pack2\mickey_b_vert.tif</v>
      </c>
      <c r="F220" s="1">
        <v>0</v>
      </c>
      <c r="G220" s="1">
        <v>2</v>
      </c>
      <c r="I220" s="1" t="s">
        <v>890</v>
      </c>
      <c r="K220" s="1" t="s">
        <v>48</v>
      </c>
      <c r="AM220" s="1">
        <v>16</v>
      </c>
      <c r="AN220" s="1">
        <v>180</v>
      </c>
      <c r="AO220" s="1">
        <v>1</v>
      </c>
      <c r="AP220" s="1">
        <v>250</v>
      </c>
      <c r="AQ220" s="2" t="s">
        <v>554</v>
      </c>
    </row>
    <row r="221" spans="1:43" x14ac:dyDescent="0.2">
      <c r="A221" s="12" t="s">
        <v>891</v>
      </c>
      <c r="B221" s="1" t="s">
        <v>892</v>
      </c>
      <c r="C221" s="1" t="s">
        <v>893</v>
      </c>
      <c r="D221" s="1" t="str">
        <f t="shared" si="17"/>
        <v>Documents\GitHub\Ozon_upload\barcode\punky monkey\Термонаклейка Микки Маус мультфильмы внутри.pdf</v>
      </c>
      <c r="E221" s="20" t="str">
        <f t="shared" si="16"/>
        <v>C:\Users\maxim\Documents\GitHub\Ozon_upload\DTF_images\max\dtf_a5\pack2\mickey_c.tif</v>
      </c>
      <c r="F221" s="1">
        <v>0</v>
      </c>
      <c r="G221" s="1">
        <v>2</v>
      </c>
      <c r="I221" s="1" t="s">
        <v>894</v>
      </c>
      <c r="K221" s="1" t="s">
        <v>48</v>
      </c>
      <c r="AM221" s="1">
        <v>16</v>
      </c>
      <c r="AN221" s="1">
        <v>180</v>
      </c>
      <c r="AO221" s="1">
        <v>1</v>
      </c>
      <c r="AP221" s="1">
        <v>250</v>
      </c>
      <c r="AQ221" s="2" t="s">
        <v>554</v>
      </c>
    </row>
    <row r="222" spans="1:43" x14ac:dyDescent="0.2">
      <c r="A222" s="12" t="s">
        <v>895</v>
      </c>
      <c r="B222" s="1" t="s">
        <v>896</v>
      </c>
      <c r="C222" s="1" t="s">
        <v>897</v>
      </c>
      <c r="D222" s="1" t="str">
        <f t="shared" si="17"/>
        <v>Documents\GitHub\Ozon_upload\barcode\punky monkey\Термонаклейка Микки Маус надпись Дисней.pdf</v>
      </c>
      <c r="E222" s="20" t="str">
        <f t="shared" si="16"/>
        <v>C:\Users\maxim\Documents\GitHub\Ozon_upload\DTF_images\max\dtf_a5\pack2\mickey_c_horiz.tif</v>
      </c>
      <c r="F222" s="1">
        <v>1</v>
      </c>
      <c r="G222" s="1">
        <v>2</v>
      </c>
      <c r="I222" s="1" t="s">
        <v>898</v>
      </c>
      <c r="K222" s="1" t="s">
        <v>48</v>
      </c>
      <c r="AM222" s="1">
        <v>16</v>
      </c>
      <c r="AN222" s="1">
        <v>180</v>
      </c>
      <c r="AO222" s="1">
        <v>1</v>
      </c>
      <c r="AP222" s="1">
        <v>250</v>
      </c>
      <c r="AQ222" s="2" t="s">
        <v>554</v>
      </c>
    </row>
    <row r="223" spans="1:43" x14ac:dyDescent="0.2">
      <c r="A223" s="12" t="s">
        <v>899</v>
      </c>
      <c r="B223" s="1" t="s">
        <v>900</v>
      </c>
      <c r="C223" s="1" t="s">
        <v>901</v>
      </c>
      <c r="D223" s="1" t="str">
        <f t="shared" si="17"/>
        <v>Documents\GitHub\Ozon_upload\barcode\punky monkey\Термонаклейка Микки Маус и Минни сердечко.pdf</v>
      </c>
      <c r="E223" s="20" t="str">
        <f t="shared" si="16"/>
        <v>C:\Users\maxim\Documents\GitHub\Ozon_upload\DTF_images\max\dtf_a5\pack2\mickey_love_a_horiz.tif</v>
      </c>
      <c r="F223" s="1">
        <v>1</v>
      </c>
      <c r="G223" s="1">
        <v>2</v>
      </c>
      <c r="I223" s="1" t="s">
        <v>902</v>
      </c>
      <c r="K223" s="1" t="s">
        <v>48</v>
      </c>
      <c r="AM223" s="1">
        <v>16</v>
      </c>
      <c r="AN223" s="1">
        <v>180</v>
      </c>
      <c r="AO223" s="1">
        <v>1</v>
      </c>
      <c r="AP223" s="1">
        <v>250</v>
      </c>
      <c r="AQ223" s="2" t="s">
        <v>554</v>
      </c>
    </row>
    <row r="224" spans="1:43" x14ac:dyDescent="0.2">
      <c r="A224" s="12" t="s">
        <v>903</v>
      </c>
      <c r="B224" s="1" t="s">
        <v>904</v>
      </c>
      <c r="C224" s="1" t="s">
        <v>905</v>
      </c>
      <c r="D224" s="1" t="str">
        <f t="shared" si="17"/>
        <v>Documents\GitHub\Ozon_upload\barcode\punky monkey\Термонаклейка Микки Маус на желтом скейте.pdf</v>
      </c>
      <c r="E224" s="20" t="str">
        <f t="shared" si="16"/>
        <v>C:\Users\maxim\Documents\GitHub\Ozon_upload\DTF_images\max\dtf_a5\pack2\mickey_skater_horiz.tif</v>
      </c>
      <c r="F224" s="1">
        <v>1</v>
      </c>
      <c r="G224" s="1">
        <v>2</v>
      </c>
      <c r="I224" s="1" t="s">
        <v>906</v>
      </c>
      <c r="K224" s="1" t="s">
        <v>48</v>
      </c>
      <c r="AM224" s="1">
        <v>16</v>
      </c>
      <c r="AN224" s="1">
        <v>180</v>
      </c>
      <c r="AO224" s="1">
        <v>1</v>
      </c>
      <c r="AP224" s="1">
        <v>250</v>
      </c>
      <c r="AQ224" s="2" t="s">
        <v>554</v>
      </c>
    </row>
    <row r="225" spans="1:43" x14ac:dyDescent="0.2">
      <c r="A225" s="12" t="s">
        <v>907</v>
      </c>
      <c r="B225" s="1" t="s">
        <v>908</v>
      </c>
      <c r="C225" s="1" t="s">
        <v>909</v>
      </c>
      <c r="D225" s="1" t="str">
        <f t="shared" si="17"/>
        <v>Documents\GitHub\Ozon_upload\barcode\punky monkey\Термонаклейка Миньоны горкой из 6 штук.pdf</v>
      </c>
      <c r="E225" s="20" t="str">
        <f t="shared" si="16"/>
        <v>C:\Users\maxim\Documents\GitHub\Ozon_upload\DTF_images\max\dtf_a5\pack2\minions_a_vert.tif</v>
      </c>
      <c r="F225" s="1">
        <v>0</v>
      </c>
      <c r="G225" s="1">
        <v>2</v>
      </c>
      <c r="I225" s="1" t="s">
        <v>910</v>
      </c>
      <c r="K225" s="1" t="s">
        <v>48</v>
      </c>
      <c r="AM225" s="1">
        <v>16</v>
      </c>
      <c r="AN225" s="1">
        <v>180</v>
      </c>
      <c r="AO225" s="1">
        <v>1</v>
      </c>
      <c r="AP225" s="1">
        <v>250</v>
      </c>
      <c r="AQ225" s="2" t="s">
        <v>554</v>
      </c>
    </row>
    <row r="226" spans="1:43" x14ac:dyDescent="0.2">
      <c r="A226" s="12" t="s">
        <v>911</v>
      </c>
      <c r="B226" s="1" t="s">
        <v>912</v>
      </c>
      <c r="C226" s="1" t="s">
        <v>913</v>
      </c>
      <c r="D226" s="1" t="str">
        <f t="shared" si="17"/>
        <v>Documents\GitHub\Ozon_upload\barcode\punky monkey\Термонаклейка Миньоны горкой из 3 штук.pdf</v>
      </c>
      <c r="E226" s="20" t="str">
        <f t="shared" si="16"/>
        <v>C:\Users\maxim\Documents\GitHub\Ozon_upload\DTF_images\max\dtf_a5\pack2\minions_b_vert.tif</v>
      </c>
      <c r="F226" s="1">
        <v>0</v>
      </c>
      <c r="G226" s="1">
        <v>2</v>
      </c>
      <c r="I226" s="1" t="s">
        <v>914</v>
      </c>
      <c r="K226" s="1" t="s">
        <v>48</v>
      </c>
      <c r="AM226" s="1">
        <v>16</v>
      </c>
      <c r="AN226" s="1">
        <v>180</v>
      </c>
      <c r="AO226" s="1">
        <v>1</v>
      </c>
      <c r="AP226" s="1">
        <v>250</v>
      </c>
      <c r="AQ226" s="2" t="s">
        <v>554</v>
      </c>
    </row>
    <row r="227" spans="1:43" x14ac:dyDescent="0.2">
      <c r="A227" s="12" t="s">
        <v>915</v>
      </c>
      <c r="B227" s="1" t="s">
        <v>916</v>
      </c>
      <c r="C227" s="1" t="s">
        <v>917</v>
      </c>
      <c r="D227" s="1" t="str">
        <f t="shared" si="17"/>
        <v>Documents\GitHub\Ozon_upload\barcode\punky monkey\Термонаклейка Минни Маус зайчик в руках.pdf</v>
      </c>
      <c r="E227" s="20" t="str">
        <f t="shared" si="16"/>
        <v>C:\Users\maxim\Documents\GitHub\Ozon_upload\DTF_images\max\dtf_a5\pack2\minni_a_vert.tif</v>
      </c>
      <c r="F227" s="1">
        <v>0</v>
      </c>
      <c r="G227" s="1">
        <v>2</v>
      </c>
      <c r="I227" s="1" t="s">
        <v>918</v>
      </c>
      <c r="K227" s="1" t="s">
        <v>48</v>
      </c>
      <c r="AM227" s="1">
        <v>16</v>
      </c>
      <c r="AN227" s="1">
        <v>180</v>
      </c>
      <c r="AO227" s="1">
        <v>1</v>
      </c>
      <c r="AP227" s="1">
        <v>250</v>
      </c>
      <c r="AQ227" s="2" t="s">
        <v>554</v>
      </c>
    </row>
    <row r="228" spans="1:43" x14ac:dyDescent="0.2">
      <c r="A228" s="12" t="s">
        <v>919</v>
      </c>
      <c r="B228" s="1" t="s">
        <v>920</v>
      </c>
      <c r="C228" s="1" t="s">
        <v>921</v>
      </c>
      <c r="D228" s="1" t="str">
        <f t="shared" si="17"/>
        <v>Documents\GitHub\Ozon_upload\barcode\punky monkey\Термонаклейка Минни Маус и Дейзи утка.pdf</v>
      </c>
      <c r="E228" s="20" t="str">
        <f t="shared" si="16"/>
        <v>C:\Users\maxim\Documents\GitHub\Ozon_upload\DTF_images\max\dtf_a5\pack2\minni_b_vert.tif</v>
      </c>
      <c r="F228" s="1">
        <v>0</v>
      </c>
      <c r="G228" s="1">
        <v>2</v>
      </c>
      <c r="I228" s="1" t="s">
        <v>922</v>
      </c>
      <c r="K228" s="1" t="s">
        <v>48</v>
      </c>
      <c r="AM228" s="1">
        <v>16</v>
      </c>
      <c r="AN228" s="1">
        <v>180</v>
      </c>
      <c r="AO228" s="1">
        <v>1</v>
      </c>
      <c r="AP228" s="1">
        <v>250</v>
      </c>
      <c r="AQ228" s="2" t="s">
        <v>554</v>
      </c>
    </row>
    <row r="229" spans="1:43" x14ac:dyDescent="0.2">
      <c r="A229" s="12" t="s">
        <v>923</v>
      </c>
      <c r="B229" s="1" t="s">
        <v>924</v>
      </c>
      <c r="C229" s="1" t="s">
        <v>925</v>
      </c>
      <c r="D229" s="1" t="str">
        <f t="shared" si="17"/>
        <v>Documents\GitHub\Ozon_upload\barcode\punky monkey\Термонаклейка Минни Маус подмигивает в очках.pdf</v>
      </c>
      <c r="E229" s="20" t="str">
        <f t="shared" si="16"/>
        <v>C:\Users\maxim\Documents\GitHub\Ozon_upload\DTF_images\max\dtf_a5\pack2\minni_c_vert.tif</v>
      </c>
      <c r="F229" s="1">
        <v>0</v>
      </c>
      <c r="G229" s="1">
        <v>2</v>
      </c>
      <c r="I229" s="1" t="s">
        <v>926</v>
      </c>
      <c r="K229" s="1" t="s">
        <v>48</v>
      </c>
      <c r="AM229" s="1">
        <v>16</v>
      </c>
      <c r="AN229" s="1">
        <v>180</v>
      </c>
      <c r="AO229" s="1">
        <v>1</v>
      </c>
      <c r="AP229" s="1">
        <v>250</v>
      </c>
      <c r="AQ229" s="2" t="s">
        <v>554</v>
      </c>
    </row>
    <row r="230" spans="1:43" x14ac:dyDescent="0.2">
      <c r="A230" s="12" t="s">
        <v>927</v>
      </c>
      <c r="B230" s="1" t="s">
        <v>928</v>
      </c>
      <c r="C230" s="1" t="s">
        <v>929</v>
      </c>
      <c r="D230" s="1" t="str">
        <f t="shared" si="17"/>
        <v>Documents\GitHub\Ozon_upload\barcode\punky monkey\Термонаклейка Мишка в кепке делает селфи.pdf</v>
      </c>
      <c r="E230" s="20" t="str">
        <f t="shared" si="16"/>
        <v>C:\Users\maxim\Documents\GitHub\Ozon_upload\DTF_images\max\dtf_a5\pack2\mishka_a_vert.tif</v>
      </c>
      <c r="F230" s="1">
        <v>0</v>
      </c>
      <c r="G230" s="1">
        <v>2</v>
      </c>
      <c r="I230" s="1" t="s">
        <v>930</v>
      </c>
      <c r="K230" s="1" t="s">
        <v>48</v>
      </c>
      <c r="AM230" s="1">
        <v>16</v>
      </c>
      <c r="AN230" s="1">
        <v>180</v>
      </c>
      <c r="AO230" s="1">
        <v>1</v>
      </c>
      <c r="AP230" s="1">
        <v>250</v>
      </c>
      <c r="AQ230" s="2" t="s">
        <v>554</v>
      </c>
    </row>
    <row r="231" spans="1:43" x14ac:dyDescent="0.2">
      <c r="A231" s="12" t="s">
        <v>931</v>
      </c>
      <c r="B231" s="1" t="s">
        <v>932</v>
      </c>
      <c r="C231" s="1" t="s">
        <v>933</v>
      </c>
      <c r="D231" s="1" t="str">
        <f t="shared" si="17"/>
        <v>Documents\GitHub\Ozon_upload\barcode\punky monkey\Термонаклейка Пингвины с сердечками шарики.pdf</v>
      </c>
      <c r="E231" s="20" t="str">
        <f t="shared" si="16"/>
        <v>C:\Users\maxim\Documents\GitHub\Ozon_upload\DTF_images\max\dtf_a5\pack2\penguins_a_horiz.tif</v>
      </c>
      <c r="F231" s="1">
        <v>1</v>
      </c>
      <c r="G231" s="1">
        <v>2</v>
      </c>
      <c r="I231" s="1" t="s">
        <v>934</v>
      </c>
      <c r="K231" s="1" t="s">
        <v>48</v>
      </c>
      <c r="AM231" s="1">
        <v>16</v>
      </c>
      <c r="AN231" s="1">
        <v>180</v>
      </c>
      <c r="AO231" s="1">
        <v>1</v>
      </c>
      <c r="AP231" s="1">
        <v>250</v>
      </c>
      <c r="AQ231" s="2" t="s">
        <v>554</v>
      </c>
    </row>
    <row r="232" spans="1:43" x14ac:dyDescent="0.2">
      <c r="A232" s="12" t="s">
        <v>935</v>
      </c>
      <c r="B232" s="1" t="s">
        <v>936</v>
      </c>
      <c r="C232" s="1" t="s">
        <v>937</v>
      </c>
      <c r="D232" s="1" t="str">
        <f t="shared" si="17"/>
        <v>Documents\GitHub\Ozon_upload\barcode\punky monkey\Термонаклейка Зайчик держит две морковки.pdf</v>
      </c>
      <c r="E232" s="20" t="str">
        <f t="shared" si="16"/>
        <v>C:\Users\maxim\Documents\GitHub\Ozon_upload\DTF_images\max\dtf_a5\pack2\rabbit_a_vert.tif</v>
      </c>
      <c r="F232" s="1">
        <v>0</v>
      </c>
      <c r="G232" s="1">
        <v>2</v>
      </c>
      <c r="I232" s="1" t="s">
        <v>938</v>
      </c>
      <c r="K232" s="1" t="s">
        <v>48</v>
      </c>
      <c r="AM232" s="1">
        <v>16</v>
      </c>
      <c r="AN232" s="1">
        <v>180</v>
      </c>
      <c r="AO232" s="1">
        <v>1</v>
      </c>
      <c r="AP232" s="1">
        <v>250</v>
      </c>
      <c r="AQ232" s="2" t="s">
        <v>554</v>
      </c>
    </row>
    <row r="233" spans="1:43" x14ac:dyDescent="0.2">
      <c r="A233" s="12" t="s">
        <v>939</v>
      </c>
      <c r="B233" s="1" t="s">
        <v>940</v>
      </c>
      <c r="C233" s="1" t="s">
        <v>941</v>
      </c>
      <c r="D233" s="1" t="str">
        <f t="shared" si="17"/>
        <v>Documents\GitHub\Ozon_upload\barcode\punky monkey\Термонаклейка Зайка в цветах.pdf</v>
      </c>
      <c r="E233" s="20" t="str">
        <f t="shared" si="16"/>
        <v>C:\Users\maxim\Documents\GitHub\Ozon_upload\DTF_images\max\dtf_a5\pack2\rabbit_b_vert.tif</v>
      </c>
      <c r="F233" s="1">
        <v>0</v>
      </c>
      <c r="G233" s="1">
        <v>2</v>
      </c>
      <c r="I233" s="1" t="s">
        <v>942</v>
      </c>
      <c r="K233" s="1" t="s">
        <v>48</v>
      </c>
      <c r="AM233" s="1">
        <v>16</v>
      </c>
      <c r="AN233" s="1">
        <v>180</v>
      </c>
      <c r="AO233" s="1">
        <v>1</v>
      </c>
      <c r="AP233" s="1">
        <v>250</v>
      </c>
      <c r="AQ233" s="2" t="s">
        <v>554</v>
      </c>
    </row>
    <row r="234" spans="1:43" x14ac:dyDescent="0.2">
      <c r="A234" s="12" t="s">
        <v>943</v>
      </c>
      <c r="B234" s="1" t="s">
        <v>944</v>
      </c>
      <c r="C234" s="1" t="s">
        <v>945</v>
      </c>
      <c r="D234" s="1" t="str">
        <f t="shared" si="17"/>
        <v>Documents\GitHub\Ozon_upload\barcode\punky monkey\Термонаклейка Ежик Соник Тейлз Наклз Мания.pdf</v>
      </c>
      <c r="E234" s="20" t="str">
        <f t="shared" si="16"/>
        <v>C:\Users\maxim\Documents\GitHub\Ozon_upload\DTF_images\max\dtf_a5\pack2\sonic_b_vert.tif</v>
      </c>
      <c r="F234" s="1">
        <v>0</v>
      </c>
      <c r="G234" s="1">
        <v>2</v>
      </c>
      <c r="I234" s="1" t="s">
        <v>946</v>
      </c>
      <c r="K234" s="1" t="s">
        <v>48</v>
      </c>
      <c r="AM234" s="1">
        <v>16</v>
      </c>
      <c r="AN234" s="1">
        <v>180</v>
      </c>
      <c r="AO234" s="1">
        <v>1</v>
      </c>
      <c r="AP234" s="1">
        <v>250</v>
      </c>
      <c r="AQ234" s="2" t="s">
        <v>554</v>
      </c>
    </row>
    <row r="235" spans="1:43" x14ac:dyDescent="0.2">
      <c r="A235" s="12" t="s">
        <v>947</v>
      </c>
      <c r="B235" s="1" t="s">
        <v>948</v>
      </c>
      <c r="C235" s="1" t="s">
        <v>949</v>
      </c>
      <c r="D235" s="1" t="str">
        <f t="shared" si="17"/>
        <v>Documents\GitHub\Ozon_upload\barcode\punky monkey\Термонаклейка Ежик Соник бежит из кольца.pdf</v>
      </c>
      <c r="E235" s="20" t="str">
        <f t="shared" si="16"/>
        <v>C:\Users\maxim\Documents\GitHub\Ozon_upload\DTF_images\max\dtf_a5\pack2\sonic_run_vert.tif</v>
      </c>
      <c r="F235" s="1">
        <v>0</v>
      </c>
      <c r="G235" s="1">
        <v>2</v>
      </c>
      <c r="I235" s="1" t="s">
        <v>950</v>
      </c>
      <c r="K235" s="1" t="s">
        <v>48</v>
      </c>
      <c r="AM235" s="1">
        <v>16</v>
      </c>
      <c r="AN235" s="1">
        <v>180</v>
      </c>
      <c r="AO235" s="1">
        <v>1</v>
      </c>
      <c r="AP235" s="1">
        <v>250</v>
      </c>
      <c r="AQ235" s="2" t="s">
        <v>554</v>
      </c>
    </row>
    <row r="236" spans="1:43" x14ac:dyDescent="0.2">
      <c r="A236" s="12" t="s">
        <v>951</v>
      </c>
      <c r="B236" s="1" t="s">
        <v>952</v>
      </c>
      <c r="C236" s="1" t="s">
        <v>953</v>
      </c>
      <c r="D236" s="1" t="str">
        <f t="shared" si="17"/>
        <v>Documents\GitHub\Ozon_upload\barcode\punky monkey\Термонаклейка Человек Паук и Веном половинки.pdf</v>
      </c>
      <c r="E236" s="20" t="str">
        <f t="shared" si="16"/>
        <v>C:\Users\maxim\Documents\GitHub\Ozon_upload\DTF_images\max\dtf_a5\pack2\spider_a_vert.tif</v>
      </c>
      <c r="F236" s="1">
        <v>0</v>
      </c>
      <c r="G236" s="1">
        <v>2</v>
      </c>
      <c r="I236" s="1" t="s">
        <v>954</v>
      </c>
      <c r="K236" s="1" t="s">
        <v>48</v>
      </c>
      <c r="AM236" s="1">
        <v>16</v>
      </c>
      <c r="AN236" s="1">
        <v>180</v>
      </c>
      <c r="AO236" s="1">
        <v>1</v>
      </c>
      <c r="AP236" s="1">
        <v>250</v>
      </c>
      <c r="AQ236" s="2" t="s">
        <v>554</v>
      </c>
    </row>
    <row r="237" spans="1:43" x14ac:dyDescent="0.2">
      <c r="A237" s="12" t="s">
        <v>955</v>
      </c>
      <c r="B237" s="1" t="s">
        <v>956</v>
      </c>
      <c r="C237" s="1" t="s">
        <v>957</v>
      </c>
      <c r="D237" s="1" t="str">
        <f t="shared" si="17"/>
        <v>Documents\GitHub\Ozon_upload\barcode\punky monkey\Термонаклейка Спанч Боб руки в сторону.pdf</v>
      </c>
      <c r="E237" s="20" t="str">
        <f t="shared" si="16"/>
        <v>C:\Users\maxim\Documents\GitHub\Ozon_upload\DTF_images\max\dtf_a5\pack2\spunchbob_a_horiz.tif</v>
      </c>
      <c r="F237" s="1">
        <v>1</v>
      </c>
      <c r="G237" s="1">
        <v>2</v>
      </c>
      <c r="I237" s="1" t="s">
        <v>958</v>
      </c>
      <c r="K237" s="1" t="s">
        <v>48</v>
      </c>
      <c r="AM237" s="1">
        <v>16</v>
      </c>
      <c r="AN237" s="1">
        <v>180</v>
      </c>
      <c r="AO237" s="1">
        <v>1</v>
      </c>
      <c r="AP237" s="1">
        <v>250</v>
      </c>
      <c r="AQ237" s="2" t="s">
        <v>554</v>
      </c>
    </row>
    <row r="238" spans="1:43" x14ac:dyDescent="0.2">
      <c r="A238" s="12" t="s">
        <v>959</v>
      </c>
      <c r="B238" s="1" t="s">
        <v>960</v>
      </c>
      <c r="C238" s="1" t="s">
        <v>961</v>
      </c>
      <c r="D238" s="1" t="str">
        <f t="shared" si="17"/>
        <v>Documents\GitHub\Ozon_upload\barcode\punky monkey\Термонаклейка Спанч Боб и Патрик сидят.pdf</v>
      </c>
      <c r="E238" s="20" t="str">
        <f t="shared" si="16"/>
        <v>C:\Users\maxim\Documents\GitHub\Ozon_upload\DTF_images\max\dtf_a5\pack2\spunchbob_b_horiz.tif</v>
      </c>
      <c r="F238" s="1">
        <v>1</v>
      </c>
      <c r="G238" s="1">
        <v>2</v>
      </c>
      <c r="I238" s="1" t="s">
        <v>962</v>
      </c>
      <c r="K238" s="1" t="s">
        <v>48</v>
      </c>
      <c r="AM238" s="1">
        <v>16</v>
      </c>
      <c r="AN238" s="1">
        <v>180</v>
      </c>
      <c r="AO238" s="1">
        <v>1</v>
      </c>
      <c r="AP238" s="1">
        <v>250</v>
      </c>
      <c r="AQ238" s="2" t="s">
        <v>554</v>
      </c>
    </row>
    <row r="239" spans="1:43" x14ac:dyDescent="0.2">
      <c r="A239" s="12" t="s">
        <v>963</v>
      </c>
      <c r="B239" s="1" t="s">
        <v>964</v>
      </c>
      <c r="C239" s="1" t="s">
        <v>965</v>
      </c>
      <c r="D239" s="1" t="str">
        <f t="shared" si="17"/>
        <v>Documents\GitHub\Ozon_upload\barcode\punky monkey\Термонаклейка Черепашки Ниндзя классика.pdf</v>
      </c>
      <c r="E239" s="20" t="str">
        <f t="shared" si="16"/>
        <v>C:\Users\maxim\Documents\GitHub\Ozon_upload\DTF_images\max\dtf_a5\pack2\turtles_a_vert.tif</v>
      </c>
      <c r="F239" s="1">
        <v>0</v>
      </c>
      <c r="G239" s="1">
        <v>2</v>
      </c>
      <c r="I239" s="1" t="s">
        <v>966</v>
      </c>
      <c r="K239" s="1" t="s">
        <v>48</v>
      </c>
      <c r="AM239" s="1">
        <v>16</v>
      </c>
      <c r="AN239" s="1">
        <v>180</v>
      </c>
      <c r="AO239" s="1">
        <v>1</v>
      </c>
      <c r="AP239" s="1">
        <v>250</v>
      </c>
      <c r="AQ239" s="2" t="s">
        <v>554</v>
      </c>
    </row>
    <row r="240" spans="1:43" x14ac:dyDescent="0.2">
      <c r="A240" s="12" t="s">
        <v>967</v>
      </c>
      <c r="B240" s="1" t="s">
        <v>968</v>
      </c>
      <c r="C240" s="1" t="s">
        <v>969</v>
      </c>
      <c r="D240" s="1" t="str">
        <f t="shared" si="17"/>
        <v>Documents\GitHub\Ozon_upload\barcode\punky monkey\Термонаклейка Черепашки Ниндзя надпись снизу.pdf</v>
      </c>
      <c r="E240" s="20" t="str">
        <f t="shared" si="16"/>
        <v>C:\Users\maxim\Documents\GitHub\Ozon_upload\DTF_images\max\dtf_a5\pack2\turtles_b_vert.tif</v>
      </c>
      <c r="F240" s="1">
        <v>0</v>
      </c>
      <c r="G240" s="1">
        <v>2</v>
      </c>
      <c r="I240" s="1" t="s">
        <v>970</v>
      </c>
      <c r="K240" s="1" t="s">
        <v>48</v>
      </c>
      <c r="AM240" s="1">
        <v>16</v>
      </c>
      <c r="AN240" s="1">
        <v>180</v>
      </c>
      <c r="AO240" s="1">
        <v>1</v>
      </c>
      <c r="AP240" s="1">
        <v>250</v>
      </c>
      <c r="AQ240" s="2" t="s">
        <v>554</v>
      </c>
    </row>
    <row r="241" spans="1:43" x14ac:dyDescent="0.2">
      <c r="A241" s="12" t="s">
        <v>971</v>
      </c>
      <c r="B241" s="1" t="s">
        <v>972</v>
      </c>
      <c r="C241" s="1" t="s">
        <v>973</v>
      </c>
      <c r="D241" s="1" t="str">
        <f t="shared" si="17"/>
        <v>Documents\GitHub\Ozon_upload\barcode\punky monkey\Термонаклейка Единорог очки сердечки.pdf</v>
      </c>
      <c r="E241" s="20" t="str">
        <f t="shared" si="16"/>
        <v>C:\Users\maxim\Documents\GitHub\Ozon_upload\DTF_images\max\dtf_a5\pack2\unicorn_a_horiz.tif</v>
      </c>
      <c r="F241" s="1">
        <v>1</v>
      </c>
      <c r="G241" s="1">
        <v>2</v>
      </c>
      <c r="I241" s="1" t="s">
        <v>974</v>
      </c>
      <c r="K241" s="1" t="s">
        <v>48</v>
      </c>
      <c r="AM241" s="1">
        <v>16</v>
      </c>
      <c r="AN241" s="1">
        <v>180</v>
      </c>
      <c r="AO241" s="1">
        <v>1</v>
      </c>
      <c r="AP241" s="1">
        <v>250</v>
      </c>
      <c r="AQ241" s="2" t="s">
        <v>554</v>
      </c>
    </row>
    <row r="242" spans="1:43" x14ac:dyDescent="0.2">
      <c r="A242" s="12" t="s">
        <v>975</v>
      </c>
      <c r="B242" s="1" t="s">
        <v>976</v>
      </c>
      <c r="C242" s="1" t="s">
        <v>977</v>
      </c>
      <c r="D242" s="1" t="str">
        <f t="shared" si="17"/>
        <v>Documents\GitHub\Ozon_upload\barcode\punky monkey\Термонаклейка Единорог в облаках.pdf</v>
      </c>
      <c r="E242" s="20" t="str">
        <f t="shared" si="16"/>
        <v>C:\Users\maxim\Documents\GitHub\Ozon_upload\DTF_images\max\dtf_a5\pack2\unicorn_b_horiz.tif</v>
      </c>
      <c r="F242" s="1">
        <v>1</v>
      </c>
      <c r="G242" s="1">
        <v>2</v>
      </c>
      <c r="I242" s="1" t="s">
        <v>978</v>
      </c>
      <c r="K242" s="1" t="s">
        <v>48</v>
      </c>
      <c r="AM242" s="1">
        <v>16</v>
      </c>
      <c r="AN242" s="1">
        <v>180</v>
      </c>
      <c r="AO242" s="1">
        <v>1</v>
      </c>
      <c r="AP242" s="1">
        <v>250</v>
      </c>
      <c r="AQ242" s="2" t="s">
        <v>554</v>
      </c>
    </row>
    <row r="243" spans="1:43" x14ac:dyDescent="0.2">
      <c r="A243" s="12" t="s">
        <v>979</v>
      </c>
      <c r="B243" s="1" t="s">
        <v>980</v>
      </c>
      <c r="C243" s="1" t="s">
        <v>981</v>
      </c>
      <c r="D243" s="1" t="str">
        <f t="shared" si="17"/>
        <v>Documents\GitHub\Ozon_upload\barcode\punky monkey\Термонаклейка Единорог и бабочки.pdf</v>
      </c>
      <c r="E243" s="20" t="str">
        <f t="shared" si="16"/>
        <v>C:\Users\maxim\Documents\GitHub\Ozon_upload\DTF_images\max\dtf_a5\pack2\unicorn_c_horiz.tif</v>
      </c>
      <c r="F243" s="1">
        <v>1</v>
      </c>
      <c r="G243" s="1">
        <v>2</v>
      </c>
      <c r="I243" s="1" t="s">
        <v>982</v>
      </c>
      <c r="K243" s="1" t="s">
        <v>48</v>
      </c>
      <c r="AM243" s="1">
        <v>16</v>
      </c>
      <c r="AN243" s="1">
        <v>180</v>
      </c>
      <c r="AO243" s="1">
        <v>1</v>
      </c>
      <c r="AP243" s="1">
        <v>250</v>
      </c>
      <c r="AQ243" s="2" t="s">
        <v>554</v>
      </c>
    </row>
    <row r="244" spans="1:43" x14ac:dyDescent="0.2">
      <c r="A244" s="12" t="s">
        <v>983</v>
      </c>
      <c r="B244" s="1" t="s">
        <v>984</v>
      </c>
      <c r="C244" s="1" t="s">
        <v>985</v>
      </c>
      <c r="D244" s="1" t="str">
        <f t="shared" ref="D244:D265" si="18">CONCATENATE("Documents\GitHub\Ozon_upload\barcode\punky monkey\", A244, ".pdf")</f>
        <v>Documents\GitHub\Ozon_upload\barcode\punky monkey\Термонаклейка Единорог корона и надпись внизу.pdf</v>
      </c>
      <c r="E244" s="20" t="str">
        <f t="shared" si="16"/>
        <v>C:\Users\maxim\Documents\GitHub\Ozon_upload\DTF_images\max\dtf_a5\pack2\unicorn_d_vert.tif</v>
      </c>
      <c r="F244" s="1">
        <v>0</v>
      </c>
      <c r="G244" s="1">
        <v>2</v>
      </c>
      <c r="I244" s="1" t="s">
        <v>986</v>
      </c>
      <c r="K244" s="1" t="s">
        <v>48</v>
      </c>
      <c r="AM244" s="1">
        <v>16</v>
      </c>
      <c r="AN244" s="1">
        <v>180</v>
      </c>
      <c r="AO244" s="1">
        <v>1</v>
      </c>
      <c r="AP244" s="1">
        <v>250</v>
      </c>
      <c r="AQ244" s="2" t="s">
        <v>554</v>
      </c>
    </row>
    <row r="245" spans="1:43" x14ac:dyDescent="0.2">
      <c r="A245" s="12" t="s">
        <v>987</v>
      </c>
      <c r="B245" s="1" t="s">
        <v>988</v>
      </c>
      <c r="C245" s="1" t="s">
        <v>989</v>
      </c>
      <c r="D245" s="1" t="str">
        <f t="shared" si="18"/>
        <v>Documents\GitHub\Ozon_upload\barcode\punky monkey\Термонаклейка Русалочка дисней.pdf</v>
      </c>
      <c r="E245" s="21" t="str">
        <f t="shared" ref="E245:E265" si="19">CONCATENATE("C:\Users\maxim\Documents\GitHub\Ozon_upload\DTF_images\max\dtf_a5\pack3\",C245,".tif")</f>
        <v>C:\Users\maxim\Documents\GitHub\Ozon_upload\DTF_images\max\dtf_a5\pack3\ariel_a_vert.tif</v>
      </c>
      <c r="F245" s="1">
        <v>0</v>
      </c>
      <c r="G245" s="1">
        <v>2</v>
      </c>
      <c r="I245" s="1" t="s">
        <v>990</v>
      </c>
      <c r="K245" s="1" t="s">
        <v>48</v>
      </c>
      <c r="AM245" s="1">
        <v>16</v>
      </c>
      <c r="AN245" s="1">
        <v>180</v>
      </c>
      <c r="AO245" s="1">
        <v>1</v>
      </c>
      <c r="AP245" s="1">
        <v>250</v>
      </c>
      <c r="AQ245" s="2" t="s">
        <v>554</v>
      </c>
    </row>
    <row r="246" spans="1:43" x14ac:dyDescent="0.2">
      <c r="A246" s="12" t="s">
        <v>991</v>
      </c>
      <c r="B246" s="1" t="s">
        <v>992</v>
      </c>
      <c r="C246" s="1" t="s">
        <v>993</v>
      </c>
      <c r="D246" s="1" t="str">
        <f t="shared" si="18"/>
        <v>Documents\GitHub\Ozon_upload\barcode\punky monkey\Термонаклейка Барт стоит с скейтом Симпсоны.pdf</v>
      </c>
      <c r="E246" s="21" t="str">
        <f t="shared" si="19"/>
        <v>C:\Users\maxim\Documents\GitHub\Ozon_upload\DTF_images\max\dtf_a5\pack3\bart_b_horiz.tif</v>
      </c>
      <c r="F246" s="1">
        <v>0</v>
      </c>
      <c r="G246" s="1">
        <v>2</v>
      </c>
      <c r="I246" s="1" t="s">
        <v>994</v>
      </c>
      <c r="K246" s="1" t="s">
        <v>48</v>
      </c>
      <c r="AM246" s="1">
        <v>16</v>
      </c>
      <c r="AN246" s="1">
        <v>180</v>
      </c>
      <c r="AO246" s="1">
        <v>1</v>
      </c>
      <c r="AP246" s="1">
        <v>250</v>
      </c>
      <c r="AQ246" s="2" t="s">
        <v>554</v>
      </c>
    </row>
    <row r="247" spans="1:43" x14ac:dyDescent="0.2">
      <c r="A247" s="12" t="s">
        <v>995</v>
      </c>
      <c r="B247" s="1" t="s">
        <v>996</v>
      </c>
      <c r="C247" s="1" t="s">
        <v>997</v>
      </c>
      <c r="D247" s="1" t="str">
        <f t="shared" si="18"/>
        <v>Documents\GitHub\Ozon_upload\barcode\punky monkey\Термонаклейка Барт Прыгает на скейте Симпсоны.pdf</v>
      </c>
      <c r="E247" s="21" t="str">
        <f t="shared" si="19"/>
        <v>C:\Users\maxim\Documents\GitHub\Ozon_upload\DTF_images\max\dtf_a5\pack3\bart_a_vert.tif</v>
      </c>
      <c r="F247" s="1">
        <v>0</v>
      </c>
      <c r="G247" s="1">
        <v>2</v>
      </c>
      <c r="I247" s="1" t="s">
        <v>998</v>
      </c>
      <c r="K247" s="1" t="s">
        <v>48</v>
      </c>
      <c r="AM247" s="1">
        <v>16</v>
      </c>
      <c r="AN247" s="1">
        <v>180</v>
      </c>
      <c r="AO247" s="1">
        <v>1</v>
      </c>
      <c r="AP247" s="1">
        <v>250</v>
      </c>
      <c r="AQ247" s="2" t="s">
        <v>554</v>
      </c>
    </row>
    <row r="248" spans="1:43" x14ac:dyDescent="0.2">
      <c r="A248" s="12" t="s">
        <v>999</v>
      </c>
      <c r="B248" s="1" t="s">
        <v>1000</v>
      </c>
      <c r="C248" s="1" t="s">
        <v>1001</v>
      </c>
      <c r="D248" s="1" t="str">
        <f t="shared" si="18"/>
        <v>Documents\GitHub\Ozon_upload\barcode\punky monkey\Термонаклейка Принцессы дисней.pdf</v>
      </c>
      <c r="E248" s="21" t="str">
        <f t="shared" si="19"/>
        <v>C:\Users\maxim\Documents\GitHub\Ozon_upload\DTF_images\max\dtf_a5\pack3\disney_ladies_a_horiz.tif</v>
      </c>
      <c r="F248" s="1">
        <v>1</v>
      </c>
      <c r="G248" s="1">
        <v>2</v>
      </c>
      <c r="I248" s="1" t="s">
        <v>1002</v>
      </c>
      <c r="K248" s="1" t="s">
        <v>48</v>
      </c>
      <c r="AM248" s="1">
        <v>16</v>
      </c>
      <c r="AN248" s="1">
        <v>180</v>
      </c>
      <c r="AO248" s="1">
        <v>1</v>
      </c>
      <c r="AP248" s="1">
        <v>250</v>
      </c>
      <c r="AQ248" s="2" t="s">
        <v>554</v>
      </c>
    </row>
    <row r="249" spans="1:43" x14ac:dyDescent="0.2">
      <c r="A249" s="12" t="s">
        <v>1003</v>
      </c>
      <c r="B249" s="1" t="s">
        <v>1004</v>
      </c>
      <c r="C249" s="1" t="s">
        <v>1005</v>
      </c>
      <c r="D249" s="1" t="str">
        <f t="shared" si="18"/>
        <v>Documents\GitHub\Ozon_upload\barcode\punky monkey\Термонаклейка Холодное сердце 3 Эльза Анна Олаф.pdf</v>
      </c>
      <c r="E249" s="21" t="str">
        <f t="shared" si="19"/>
        <v>C:\Users\maxim\Documents\GitHub\Ozon_upload\DTF_images\max\dtf_a5\pack3\elsa_anna_olaf_heart_art_horiz.tif</v>
      </c>
      <c r="F249" s="1">
        <v>1</v>
      </c>
      <c r="G249" s="1">
        <v>2</v>
      </c>
      <c r="I249" s="1" t="s">
        <v>1006</v>
      </c>
      <c r="K249" s="1" t="s">
        <v>48</v>
      </c>
      <c r="AM249" s="1">
        <v>16</v>
      </c>
      <c r="AN249" s="1">
        <v>180</v>
      </c>
      <c r="AO249" s="1">
        <v>1</v>
      </c>
      <c r="AP249" s="1">
        <v>250</v>
      </c>
      <c r="AQ249" s="2" t="s">
        <v>554</v>
      </c>
    </row>
    <row r="250" spans="1:43" x14ac:dyDescent="0.2">
      <c r="A250" s="12" t="s">
        <v>1007</v>
      </c>
      <c r="B250" s="1" t="s">
        <v>1008</v>
      </c>
      <c r="C250" s="1" t="s">
        <v>1009</v>
      </c>
      <c r="D250" s="1" t="str">
        <f t="shared" si="18"/>
        <v>Documents\GitHub\Ozon_upload\barcode\punky monkey\Термонаклейка Эльза Анна Холодное сердце стоят.pdf</v>
      </c>
      <c r="E250" s="21" t="str">
        <f t="shared" si="19"/>
        <v>C:\Users\maxim\Documents\GitHub\Ozon_upload\DTF_images\max\dtf_a5\pack3\elsa_anna_stand_vert.tif</v>
      </c>
      <c r="F250" s="1">
        <v>0</v>
      </c>
      <c r="G250" s="1">
        <v>2</v>
      </c>
      <c r="I250" s="1" t="s">
        <v>1010</v>
      </c>
      <c r="K250" s="1" t="s">
        <v>48</v>
      </c>
      <c r="AM250" s="1">
        <v>16</v>
      </c>
      <c r="AN250" s="1">
        <v>180</v>
      </c>
      <c r="AO250" s="1">
        <v>1</v>
      </c>
      <c r="AP250" s="1">
        <v>250</v>
      </c>
      <c r="AQ250" s="2" t="s">
        <v>554</v>
      </c>
    </row>
    <row r="251" spans="1:43" x14ac:dyDescent="0.2">
      <c r="A251" s="12" t="s">
        <v>1011</v>
      </c>
      <c r="B251" s="1" t="s">
        <v>1012</v>
      </c>
      <c r="C251" s="1" t="s">
        <v>1013</v>
      </c>
      <c r="D251" s="1" t="str">
        <f t="shared" si="18"/>
        <v>Documents\GitHub\Ozon_upload\barcode\punky monkey\Термонаклейка Эльза обнимает Олафа Холодное сердце.pdf</v>
      </c>
      <c r="E251" s="21" t="str">
        <f t="shared" si="19"/>
        <v>C:\Users\maxim\Documents\GitHub\Ozon_upload\DTF_images\max\dtf_a5\pack3\elsa_olaf_hug_a_vert.tif</v>
      </c>
      <c r="F251" s="1">
        <v>0</v>
      </c>
      <c r="G251" s="1">
        <v>2</v>
      </c>
      <c r="I251" s="1" t="s">
        <v>1014</v>
      </c>
      <c r="K251" s="1" t="s">
        <v>48</v>
      </c>
      <c r="AM251" s="1">
        <v>16</v>
      </c>
      <c r="AN251" s="1">
        <v>180</v>
      </c>
      <c r="AO251" s="1">
        <v>1</v>
      </c>
      <c r="AP251" s="1">
        <v>250</v>
      </c>
      <c r="AQ251" s="2" t="s">
        <v>554</v>
      </c>
    </row>
    <row r="252" spans="1:43" x14ac:dyDescent="0.2">
      <c r="A252" s="12" t="s">
        <v>1015</v>
      </c>
      <c r="B252" s="1" t="s">
        <v>1016</v>
      </c>
      <c r="C252" s="1" t="s">
        <v>1017</v>
      </c>
      <c r="D252" s="1" t="str">
        <f t="shared" si="18"/>
        <v>Documents\GitHub\Ozon_upload\barcode\punky monkey\Термонаклейка Хаги Ваги ест завтрак.pdf</v>
      </c>
      <c r="E252" s="21" t="str">
        <f t="shared" si="19"/>
        <v>C:\Users\maxim\Documents\GitHub\Ozon_upload\DTF_images\max\dtf_a5\pack3\huggy_a_vert.tif</v>
      </c>
      <c r="F252" s="1">
        <v>0</v>
      </c>
      <c r="G252" s="1">
        <v>2</v>
      </c>
      <c r="I252" s="1" t="s">
        <v>1018</v>
      </c>
      <c r="K252" s="1" t="s">
        <v>48</v>
      </c>
      <c r="AM252" s="1">
        <v>16</v>
      </c>
      <c r="AN252" s="1">
        <v>180</v>
      </c>
      <c r="AO252" s="1">
        <v>1</v>
      </c>
      <c r="AP252" s="1">
        <v>250</v>
      </c>
      <c r="AQ252" s="2" t="s">
        <v>554</v>
      </c>
    </row>
    <row r="253" spans="1:43" x14ac:dyDescent="0.2">
      <c r="A253" s="12" t="s">
        <v>1019</v>
      </c>
      <c r="B253" s="1" t="s">
        <v>1020</v>
      </c>
      <c r="C253" s="1" t="s">
        <v>1021</v>
      </c>
      <c r="D253" s="1" t="str">
        <f t="shared" si="18"/>
        <v>Documents\GitHub\Ozon_upload\barcode\punky monkey\Термонаклейка Хаги Ваги Голова и надпись.pdf</v>
      </c>
      <c r="E253" s="21" t="str">
        <f t="shared" si="19"/>
        <v>C:\Users\maxim\Documents\GitHub\Ozon_upload\DTF_images\max\dtf_a5\pack3\huggy_b_horiz.tif</v>
      </c>
      <c r="F253" s="1">
        <v>1</v>
      </c>
      <c r="G253" s="1">
        <v>2</v>
      </c>
      <c r="I253" s="1" t="s">
        <v>1022</v>
      </c>
      <c r="K253" s="1" t="s">
        <v>48</v>
      </c>
      <c r="AM253" s="1">
        <v>16</v>
      </c>
      <c r="AN253" s="1">
        <v>180</v>
      </c>
      <c r="AO253" s="1">
        <v>1</v>
      </c>
      <c r="AP253" s="1">
        <v>250</v>
      </c>
      <c r="AQ253" s="2" t="s">
        <v>554</v>
      </c>
    </row>
    <row r="254" spans="1:43" x14ac:dyDescent="0.2">
      <c r="A254" s="12" t="s">
        <v>1023</v>
      </c>
      <c r="B254" s="1" t="s">
        <v>1024</v>
      </c>
      <c r="C254" s="1" t="s">
        <v>1025</v>
      </c>
      <c r="D254" s="1" t="str">
        <f t="shared" si="18"/>
        <v>Documents\GitHub\Ozon_upload\barcode\punky monkey\Термонаклейка Халк зеленый круг фон.pdf</v>
      </c>
      <c r="E254" s="21" t="str">
        <f t="shared" si="19"/>
        <v>C:\Users\maxim\Documents\GitHub\Ozon_upload\DTF_images\max\dtf_a5\pack3\hulk_a_horiz.tif</v>
      </c>
      <c r="F254" s="1">
        <v>1</v>
      </c>
      <c r="G254" s="1">
        <v>2</v>
      </c>
      <c r="I254" s="1" t="s">
        <v>1026</v>
      </c>
      <c r="K254" s="1" t="s">
        <v>48</v>
      </c>
      <c r="AM254" s="1">
        <v>16</v>
      </c>
      <c r="AN254" s="1">
        <v>180</v>
      </c>
      <c r="AO254" s="1">
        <v>1</v>
      </c>
      <c r="AP254" s="1">
        <v>250</v>
      </c>
      <c r="AQ254" s="2" t="s">
        <v>554</v>
      </c>
    </row>
    <row r="255" spans="1:43" x14ac:dyDescent="0.2">
      <c r="A255" s="12" t="s">
        <v>1027</v>
      </c>
      <c r="B255" s="1" t="s">
        <v>1028</v>
      </c>
      <c r="C255" s="1" t="s">
        <v>1029</v>
      </c>
      <c r="D255" s="1" t="str">
        <f t="shared" si="18"/>
        <v>Documents\GitHub\Ozon_upload\barcode\punky monkey\Термонаклейка Джерри ест сыр.pdf</v>
      </c>
      <c r="E255" s="21" t="str">
        <f t="shared" si="19"/>
        <v>C:\Users\maxim\Documents\GitHub\Ozon_upload\DTF_images\max\dtf_a5\pack3\jerry_and_cheese_a_vert.tif</v>
      </c>
      <c r="F255" s="1">
        <v>0</v>
      </c>
      <c r="G255" s="1">
        <v>2</v>
      </c>
      <c r="I255" s="1" t="s">
        <v>1030</v>
      </c>
      <c r="K255" s="1" t="s">
        <v>48</v>
      </c>
      <c r="AM255" s="1">
        <v>16</v>
      </c>
      <c r="AN255" s="1">
        <v>180</v>
      </c>
      <c r="AO255" s="1">
        <v>1</v>
      </c>
      <c r="AP255" s="1">
        <v>250</v>
      </c>
      <c r="AQ255" s="2" t="s">
        <v>554</v>
      </c>
    </row>
    <row r="256" spans="1:43" x14ac:dyDescent="0.2">
      <c r="A256" s="12" t="s">
        <v>1031</v>
      </c>
      <c r="B256" s="1" t="s">
        <v>1032</v>
      </c>
      <c r="C256" s="1" t="s">
        <v>1033</v>
      </c>
      <c r="D256" s="1" t="str">
        <f t="shared" si="18"/>
        <v>Documents\GitHub\Ozon_upload\barcode\punky monkey\Термонаклейка Леди Баг сидит.pdf</v>
      </c>
      <c r="E256" s="21" t="str">
        <f t="shared" si="19"/>
        <v>C:\Users\maxim\Documents\GitHub\Ozon_upload\DTF_images\max\dtf_a5\pack3\lady_bug_a_vert.tif</v>
      </c>
      <c r="F256" s="1">
        <v>0</v>
      </c>
      <c r="G256" s="1">
        <v>2</v>
      </c>
      <c r="I256" s="1" t="s">
        <v>1034</v>
      </c>
      <c r="K256" s="1" t="s">
        <v>48</v>
      </c>
      <c r="AM256" s="1">
        <v>16</v>
      </c>
      <c r="AN256" s="1">
        <v>180</v>
      </c>
      <c r="AO256" s="1">
        <v>1</v>
      </c>
      <c r="AP256" s="1">
        <v>250</v>
      </c>
      <c r="AQ256" s="2" t="s">
        <v>554</v>
      </c>
    </row>
    <row r="257" spans="1:44" x14ac:dyDescent="0.2">
      <c r="A257" s="12" t="s">
        <v>1035</v>
      </c>
      <c r="B257" s="1" t="s">
        <v>1036</v>
      </c>
      <c r="C257" s="1" t="s">
        <v>1037</v>
      </c>
      <c r="D257" s="1" t="str">
        <f t="shared" si="18"/>
        <v>Documents\GitHub\Ozon_upload\barcode\punky monkey\Термонаклейка Король Лев сердце хвосты.pdf</v>
      </c>
      <c r="E257" s="21" t="str">
        <f t="shared" si="19"/>
        <v>C:\Users\maxim\Documents\GitHub\Ozon_upload\DTF_images\max\dtf_a5\pack3\lion_king_a_horiz.tif</v>
      </c>
      <c r="F257" s="1">
        <v>1</v>
      </c>
      <c r="G257" s="1">
        <v>2</v>
      </c>
      <c r="I257" s="1" t="s">
        <v>1038</v>
      </c>
      <c r="K257" s="1" t="s">
        <v>48</v>
      </c>
      <c r="AM257" s="1">
        <v>16</v>
      </c>
      <c r="AN257" s="1">
        <v>180</v>
      </c>
      <c r="AO257" s="1">
        <v>1</v>
      </c>
      <c r="AP257" s="1">
        <v>250</v>
      </c>
      <c r="AQ257" s="2" t="s">
        <v>554</v>
      </c>
    </row>
    <row r="258" spans="1:44" x14ac:dyDescent="0.2">
      <c r="A258" s="12" t="s">
        <v>1039</v>
      </c>
      <c r="B258" s="1" t="s">
        <v>1040</v>
      </c>
      <c r="C258" s="1" t="s">
        <v>1041</v>
      </c>
      <c r="D258" s="1" t="str">
        <f t="shared" si="18"/>
        <v>Documents\GitHub\Ozon_upload\barcode\punky monkey\Термонаклейка Май Литл Пони радуга.pdf</v>
      </c>
      <c r="E258" s="21" t="str">
        <f t="shared" si="19"/>
        <v>C:\Users\maxim\Documents\GitHub\Ozon_upload\DTF_images\max\dtf_a5\pack3\little_ponny_a_vert.tif</v>
      </c>
      <c r="F258" s="1">
        <v>0</v>
      </c>
      <c r="G258" s="1">
        <v>2</v>
      </c>
      <c r="I258" s="1" t="s">
        <v>1042</v>
      </c>
      <c r="K258" s="1" t="s">
        <v>48</v>
      </c>
      <c r="AM258" s="1">
        <v>16</v>
      </c>
      <c r="AN258" s="1">
        <v>180</v>
      </c>
      <c r="AO258" s="1">
        <v>1</v>
      </c>
      <c r="AP258" s="1">
        <v>250</v>
      </c>
      <c r="AQ258" s="2" t="s">
        <v>554</v>
      </c>
    </row>
    <row r="259" spans="1:44" x14ac:dyDescent="0.2">
      <c r="A259" s="12" t="s">
        <v>1043</v>
      </c>
      <c r="B259" s="1" t="s">
        <v>1044</v>
      </c>
      <c r="C259" s="1" t="s">
        <v>1045</v>
      </c>
      <c r="D259" s="1" t="str">
        <f t="shared" si="18"/>
        <v>Documents\GitHub\Ozon_upload\barcode\punky monkey\Термонаклейка Майнкрафт скачет на свинье.pdf</v>
      </c>
      <c r="E259" s="21" t="str">
        <f t="shared" si="19"/>
        <v>C:\Users\maxim\Documents\GitHub\Ozon_upload\DTF_images\max\dtf_a5\pack3\minecraft_a_vert.tif</v>
      </c>
      <c r="F259" s="1">
        <v>0</v>
      </c>
      <c r="G259" s="1">
        <v>2</v>
      </c>
      <c r="I259" s="1" t="s">
        <v>1046</v>
      </c>
      <c r="K259" s="1" t="s">
        <v>48</v>
      </c>
      <c r="AM259" s="1">
        <v>16</v>
      </c>
      <c r="AN259" s="1">
        <v>180</v>
      </c>
      <c r="AO259" s="1">
        <v>1</v>
      </c>
      <c r="AP259" s="1">
        <v>250</v>
      </c>
      <c r="AQ259" s="2" t="s">
        <v>554</v>
      </c>
    </row>
    <row r="260" spans="1:44" x14ac:dyDescent="0.2">
      <c r="A260" s="12" t="s">
        <v>1047</v>
      </c>
      <c r="B260" s="1" t="s">
        <v>1048</v>
      </c>
      <c r="C260" s="1" t="s">
        <v>1049</v>
      </c>
      <c r="D260" s="1" t="str">
        <f t="shared" si="18"/>
        <v>Documents\GitHub\Ozon_upload\barcode\punky monkey\Термонаклейка Минни Маус сидит сердечки.pdf</v>
      </c>
      <c r="E260" s="21" t="str">
        <f t="shared" si="19"/>
        <v>C:\Users\maxim\Documents\GitHub\Ozon_upload\DTF_images\max\dtf_a5\pack3\minni_hearts_a_vert.tif</v>
      </c>
      <c r="F260" s="1">
        <v>0</v>
      </c>
      <c r="G260" s="1">
        <v>2</v>
      </c>
      <c r="I260" s="1" t="s">
        <v>1050</v>
      </c>
      <c r="K260" s="1" t="s">
        <v>48</v>
      </c>
      <c r="AM260" s="1">
        <v>16</v>
      </c>
      <c r="AN260" s="1">
        <v>180</v>
      </c>
      <c r="AO260" s="1">
        <v>1</v>
      </c>
      <c r="AP260" s="1">
        <v>250</v>
      </c>
      <c r="AQ260" s="2" t="s">
        <v>554</v>
      </c>
    </row>
    <row r="261" spans="1:44" x14ac:dyDescent="0.2">
      <c r="A261" s="12" t="s">
        <v>1051</v>
      </c>
      <c r="B261" s="1" t="s">
        <v>1052</v>
      </c>
      <c r="C261" s="1" t="s">
        <v>1053</v>
      </c>
      <c r="D261" s="1" t="str">
        <f t="shared" si="18"/>
        <v>Documents\GitHub\Ozon_upload\barcode\punky monkey\Термонаклейка Минни Маус фея костюм.pdf</v>
      </c>
      <c r="E261" s="21" t="str">
        <f t="shared" si="19"/>
        <v>C:\Users\maxim\Documents\GitHub\Ozon_upload\DTF_images\max\dtf_a5\pack3\minni_hearts_blink_vert.tif</v>
      </c>
      <c r="F261" s="1">
        <v>0</v>
      </c>
      <c r="G261" s="1">
        <v>2</v>
      </c>
      <c r="I261" s="1" t="s">
        <v>1054</v>
      </c>
      <c r="K261" s="1" t="s">
        <v>48</v>
      </c>
      <c r="AM261" s="1">
        <v>16</v>
      </c>
      <c r="AN261" s="1">
        <v>180</v>
      </c>
      <c r="AO261" s="1">
        <v>1</v>
      </c>
      <c r="AP261" s="1">
        <v>250</v>
      </c>
      <c r="AQ261" s="2" t="s">
        <v>554</v>
      </c>
    </row>
    <row r="262" spans="1:44" x14ac:dyDescent="0.2">
      <c r="A262" s="12" t="s">
        <v>1055</v>
      </c>
      <c r="B262" s="1" t="s">
        <v>1056</v>
      </c>
      <c r="C262" s="1" t="s">
        <v>1057</v>
      </c>
      <c r="D262" s="1" t="str">
        <f t="shared" si="18"/>
        <v>Documents\GitHub\Ozon_upload\barcode\punky monkey\Термонаклейка Шенячий Патруль и Логотип.pdf</v>
      </c>
      <c r="E262" s="21" t="str">
        <f t="shared" si="19"/>
        <v>C:\Users\maxim\Documents\GitHub\Ozon_upload\DTF_images\max\dtf_a5\pack3\paw_patrol_a_vert.tif</v>
      </c>
      <c r="F262" s="1">
        <v>0</v>
      </c>
      <c r="G262" s="1">
        <v>2</v>
      </c>
      <c r="I262" s="1" t="s">
        <v>1058</v>
      </c>
      <c r="K262" s="1" t="s">
        <v>48</v>
      </c>
      <c r="AM262" s="1">
        <v>16</v>
      </c>
      <c r="AN262" s="1">
        <v>180</v>
      </c>
      <c r="AO262" s="1">
        <v>1</v>
      </c>
      <c r="AP262" s="1">
        <v>250</v>
      </c>
      <c r="AQ262" s="2" t="s">
        <v>554</v>
      </c>
    </row>
    <row r="263" spans="1:44" x14ac:dyDescent="0.2">
      <c r="A263" s="12" t="s">
        <v>1059</v>
      </c>
      <c r="B263" s="1" t="s">
        <v>1060</v>
      </c>
      <c r="C263" s="1" t="s">
        <v>1061</v>
      </c>
      <c r="D263" s="1" t="str">
        <f t="shared" si="18"/>
        <v>Documents\GitHub\Ozon_upload\barcode\punky monkey\Термонаклейка Шенячий Патруль полицеский.pdf</v>
      </c>
      <c r="E263" s="21" t="str">
        <f t="shared" si="19"/>
        <v>C:\Users\maxim\Documents\GitHub\Ozon_upload\DTF_images\max\dtf_a5\pack3\paw_patrol_b_horiz.tif</v>
      </c>
      <c r="F263" s="1">
        <v>1</v>
      </c>
      <c r="G263" s="1">
        <v>2</v>
      </c>
      <c r="I263" s="1" t="s">
        <v>1062</v>
      </c>
      <c r="K263" s="1" t="s">
        <v>48</v>
      </c>
      <c r="AM263" s="1">
        <v>16</v>
      </c>
      <c r="AN263" s="1">
        <v>180</v>
      </c>
      <c r="AO263" s="1">
        <v>1</v>
      </c>
      <c r="AP263" s="1">
        <v>250</v>
      </c>
      <c r="AQ263" s="2" t="s">
        <v>554</v>
      </c>
    </row>
    <row r="264" spans="1:44" x14ac:dyDescent="0.2">
      <c r="A264" s="12" t="s">
        <v>1063</v>
      </c>
      <c r="B264" s="1" t="s">
        <v>1064</v>
      </c>
      <c r="C264" s="1" t="s">
        <v>1065</v>
      </c>
      <c r="D264" s="1" t="str">
        <f t="shared" si="18"/>
        <v>Documents\GitHub\Ozon_upload\barcode\punky monkey\Термонаклейка Шенячий Патруль мальчик главный.pdf</v>
      </c>
      <c r="E264" s="21" t="str">
        <f t="shared" si="19"/>
        <v>C:\Users\maxim\Documents\GitHub\Ozon_upload\DTF_images\max\dtf_a5\pack3\paw_patrol_c_horiz.tif</v>
      </c>
      <c r="F264" s="1">
        <v>1</v>
      </c>
      <c r="G264" s="1">
        <v>2</v>
      </c>
      <c r="I264" s="1" t="s">
        <v>1066</v>
      </c>
      <c r="K264" s="1" t="s">
        <v>48</v>
      </c>
      <c r="AM264" s="1">
        <v>16</v>
      </c>
      <c r="AN264" s="1">
        <v>180</v>
      </c>
      <c r="AO264" s="1">
        <v>1</v>
      </c>
      <c r="AP264" s="1">
        <v>250</v>
      </c>
      <c r="AQ264" s="2" t="s">
        <v>554</v>
      </c>
    </row>
    <row r="265" spans="1:44" x14ac:dyDescent="0.2">
      <c r="A265" s="12" t="s">
        <v>1067</v>
      </c>
      <c r="B265" s="1" t="s">
        <v>1068</v>
      </c>
      <c r="C265" s="1" t="s">
        <v>1069</v>
      </c>
      <c r="D265" s="1" t="str">
        <f t="shared" si="18"/>
        <v>Documents\GitHub\Ozon_upload\barcode\punky monkey\Термонаклейка Черепашки Ниндзя фон треугольник.pdf</v>
      </c>
      <c r="E265" s="21" t="str">
        <f t="shared" si="19"/>
        <v>C:\Users\maxim\Documents\GitHub\Ozon_upload\DTF_images\max\dtf_a5\pack3\turtles_a_fighters_horiz.tif</v>
      </c>
      <c r="F265" s="1">
        <v>1</v>
      </c>
      <c r="G265" s="1">
        <v>2</v>
      </c>
      <c r="I265" s="1" t="s">
        <v>1070</v>
      </c>
      <c r="K265" s="1" t="s">
        <v>48</v>
      </c>
      <c r="AM265" s="1">
        <v>16</v>
      </c>
      <c r="AN265" s="1">
        <v>180</v>
      </c>
      <c r="AO265" s="1">
        <v>1</v>
      </c>
      <c r="AP265" s="1">
        <v>250</v>
      </c>
      <c r="AQ265" s="2" t="s">
        <v>554</v>
      </c>
    </row>
    <row r="266" spans="1:44" x14ac:dyDescent="0.2">
      <c r="A266" s="22" t="s">
        <v>1071</v>
      </c>
      <c r="B266" s="1" t="s">
        <v>1072</v>
      </c>
      <c r="C266" s="1" t="s">
        <v>1073</v>
      </c>
      <c r="D266" s="1" t="str">
        <f t="shared" ref="D266:D329" si="20">CONCATENATE("Documents\GitHub\Ozon_upload\barcode\amazing pics\", A266, ".pdf")</f>
        <v>Documents\GitHub\Ozon_upload\barcode\amazing pics\Термонаклейка Барби фон розовый круг.pdf</v>
      </c>
      <c r="E266" s="23" t="str">
        <f t="shared" ref="E266:E310" si="21">CONCATENATE("C:\Users\maxim\Documents\GitHub\Ozon_upload\DTF_images\tatyana\A5\set1\",C266,".tif")</f>
        <v>C:\Users\maxim\Documents\GitHub\Ozon_upload\DTF_images\tatyana\A5\set1\barbie_ar45_tat_vert.tif</v>
      </c>
      <c r="F266" s="1">
        <v>0</v>
      </c>
      <c r="G266" s="1">
        <v>2</v>
      </c>
      <c r="I266" s="1" t="s">
        <v>1074</v>
      </c>
      <c r="K266" s="1" t="s">
        <v>1075</v>
      </c>
      <c r="AM266" s="1">
        <v>17</v>
      </c>
      <c r="AN266" s="1">
        <v>180</v>
      </c>
      <c r="AO266" s="1">
        <v>1</v>
      </c>
      <c r="AP266" s="1">
        <v>250</v>
      </c>
      <c r="AQ266" s="2" t="s">
        <v>554</v>
      </c>
      <c r="AR266" s="1" t="s">
        <v>1076</v>
      </c>
    </row>
    <row r="267" spans="1:44" x14ac:dyDescent="0.2">
      <c r="A267" s="22" t="s">
        <v>1077</v>
      </c>
      <c r="B267" s="1" t="s">
        <v>1078</v>
      </c>
      <c r="C267" s="1" t="s">
        <v>1079</v>
      </c>
      <c r="D267" s="1" t="str">
        <f t="shared" si="20"/>
        <v>Documents\GitHub\Ozon_upload\barcode\amazing pics\Термонаклейка Барт с рогаткой Симпсоны.pdf</v>
      </c>
      <c r="E267" s="23" t="str">
        <f t="shared" si="21"/>
        <v>C:\Users\maxim\Documents\GitHub\Ozon_upload\DTF_images\tatyana\A5\set1\bart_df11_tat_horiz.tif</v>
      </c>
      <c r="F267" s="1">
        <v>0</v>
      </c>
      <c r="G267" s="1">
        <v>2</v>
      </c>
      <c r="I267" s="1" t="s">
        <v>1080</v>
      </c>
      <c r="K267" s="1" t="s">
        <v>1075</v>
      </c>
      <c r="AM267" s="1">
        <v>17</v>
      </c>
      <c r="AN267" s="1">
        <v>180</v>
      </c>
      <c r="AO267" s="1">
        <v>1</v>
      </c>
      <c r="AP267" s="1">
        <v>250</v>
      </c>
      <c r="AQ267" s="2" t="s">
        <v>554</v>
      </c>
      <c r="AR267" s="1" t="s">
        <v>1081</v>
      </c>
    </row>
    <row r="268" spans="1:44" x14ac:dyDescent="0.2">
      <c r="A268" s="22" t="s">
        <v>1082</v>
      </c>
      <c r="B268" s="1" t="s">
        <v>1083</v>
      </c>
      <c r="C268" s="1" t="s">
        <v>1084</v>
      </c>
      <c r="D268" s="1" t="str">
        <f t="shared" si="20"/>
        <v>Documents\GitHub\Ozon_upload\barcode\amazing pics\Термонаклейка Котенок в розовой кружке.pdf</v>
      </c>
      <c r="E268" s="23" t="str">
        <f t="shared" si="21"/>
        <v>C:\Users\maxim\Documents\GitHub\Ozon_upload\DTF_images\tatyana\A5\set1\cat_fg45_tat_vert.tif</v>
      </c>
      <c r="F268" s="1">
        <v>0</v>
      </c>
      <c r="G268" s="1">
        <v>2</v>
      </c>
      <c r="I268" s="1" t="s">
        <v>1085</v>
      </c>
      <c r="K268" s="1" t="s">
        <v>1075</v>
      </c>
      <c r="AM268" s="1">
        <v>17</v>
      </c>
      <c r="AN268" s="1">
        <v>180</v>
      </c>
      <c r="AO268" s="1">
        <v>1</v>
      </c>
      <c r="AP268" s="1">
        <v>250</v>
      </c>
      <c r="AQ268" s="2" t="s">
        <v>554</v>
      </c>
      <c r="AR268" s="1" t="s">
        <v>1086</v>
      </c>
    </row>
    <row r="269" spans="1:44" x14ac:dyDescent="0.2">
      <c r="A269" s="22" t="s">
        <v>1087</v>
      </c>
      <c r="B269" s="1" t="s">
        <v>1088</v>
      </c>
      <c r="C269" s="1" t="s">
        <v>1089</v>
      </c>
      <c r="D269" s="1" t="str">
        <f t="shared" si="20"/>
        <v>Documents\GitHub\Ozon_upload\barcode\amazing pics\Термонаклейка Котенок с цветами ромашками.pdf</v>
      </c>
      <c r="E269" s="23" t="str">
        <f t="shared" si="21"/>
        <v>C:\Users\maxim\Documents\GitHub\Ozon_upload\DTF_images\tatyana\A5\set1\cat_sd12_tat_vert.tif</v>
      </c>
      <c r="F269" s="1">
        <v>0</v>
      </c>
      <c r="G269" s="1">
        <v>2</v>
      </c>
      <c r="I269" s="1" t="s">
        <v>1090</v>
      </c>
      <c r="K269" s="1" t="s">
        <v>1075</v>
      </c>
      <c r="AM269" s="1">
        <v>17</v>
      </c>
      <c r="AN269" s="1">
        <v>180</v>
      </c>
      <c r="AO269" s="1">
        <v>1</v>
      </c>
      <c r="AP269" s="1">
        <v>250</v>
      </c>
      <c r="AQ269" s="2" t="s">
        <v>554</v>
      </c>
      <c r="AR269" s="1" t="s">
        <v>1091</v>
      </c>
    </row>
    <row r="270" spans="1:44" x14ac:dyDescent="0.2">
      <c r="A270" s="22" t="s">
        <v>1092</v>
      </c>
      <c r="B270" s="1" t="s">
        <v>1093</v>
      </c>
      <c r="C270" s="1" t="s">
        <v>1094</v>
      </c>
      <c r="D270" s="1" t="str">
        <f t="shared" si="20"/>
        <v>Documents\GitHub\Ozon_upload\barcode\amazing pics\Термонаклейка Котята на качелях.pdf</v>
      </c>
      <c r="E270" s="23" t="str">
        <f t="shared" si="21"/>
        <v>C:\Users\maxim\Documents\GitHub\Ozon_upload\DTF_images\tatyana\A5\set1\cats_ds34_tat_horiz.tif</v>
      </c>
      <c r="F270" s="1">
        <v>1</v>
      </c>
      <c r="G270" s="1">
        <v>2</v>
      </c>
      <c r="I270" s="1" t="s">
        <v>1095</v>
      </c>
      <c r="K270" s="1" t="s">
        <v>1075</v>
      </c>
      <c r="AM270" s="1">
        <v>17</v>
      </c>
      <c r="AN270" s="1">
        <v>180</v>
      </c>
      <c r="AO270" s="1">
        <v>1</v>
      </c>
      <c r="AP270" s="1">
        <v>250</v>
      </c>
      <c r="AQ270" s="2" t="s">
        <v>554</v>
      </c>
      <c r="AR270" s="1" t="s">
        <v>1096</v>
      </c>
    </row>
    <row r="271" spans="1:44" x14ac:dyDescent="0.2">
      <c r="A271" s="22" t="s">
        <v>1097</v>
      </c>
      <c r="B271" s="1" t="s">
        <v>1098</v>
      </c>
      <c r="C271" s="1" t="s">
        <v>1099</v>
      </c>
      <c r="D271" s="1" t="str">
        <f t="shared" si="20"/>
        <v>Documents\GitHub\Ozon_upload\barcode\amazing pics\Термонаклейка Динозавр в очках ест бургер.pdf</v>
      </c>
      <c r="E271" s="23" t="str">
        <f t="shared" si="21"/>
        <v>C:\Users\maxim\Documents\GitHub\Ozon_upload\DTF_images\tatyana\A5\set1\dino_as12_tat_vert.tif</v>
      </c>
      <c r="F271" s="1">
        <v>0</v>
      </c>
      <c r="G271" s="1">
        <v>2</v>
      </c>
      <c r="I271" s="1" t="s">
        <v>1100</v>
      </c>
      <c r="K271" s="1" t="s">
        <v>1075</v>
      </c>
      <c r="AM271" s="1">
        <v>17</v>
      </c>
      <c r="AN271" s="1">
        <v>180</v>
      </c>
      <c r="AO271" s="1">
        <v>1</v>
      </c>
      <c r="AP271" s="1">
        <v>250</v>
      </c>
      <c r="AQ271" s="2" t="s">
        <v>554</v>
      </c>
      <c r="AR271" s="1" t="s">
        <v>1101</v>
      </c>
    </row>
    <row r="272" spans="1:44" x14ac:dyDescent="0.2">
      <c r="A272" s="22" t="s">
        <v>1102</v>
      </c>
      <c r="B272" s="1" t="s">
        <v>1103</v>
      </c>
      <c r="C272" s="1" t="s">
        <v>1104</v>
      </c>
      <c r="D272" s="1" t="str">
        <f t="shared" si="20"/>
        <v>Documents\GitHub\Ozon_upload\barcode\amazing pics\Термонаклейка Собачка в шляпе.pdf</v>
      </c>
      <c r="E272" s="23" t="str">
        <f t="shared" si="21"/>
        <v>C:\Users\maxim\Documents\GitHub\Ozon_upload\DTF_images\tatyana\A5\set1\dog_ff11_tat_vert.tif</v>
      </c>
      <c r="F272" s="1">
        <v>0</v>
      </c>
      <c r="G272" s="1">
        <v>2</v>
      </c>
      <c r="I272" s="1" t="s">
        <v>1105</v>
      </c>
      <c r="K272" s="1" t="s">
        <v>1075</v>
      </c>
      <c r="AM272" s="1">
        <v>17</v>
      </c>
      <c r="AN272" s="1">
        <v>180</v>
      </c>
      <c r="AO272" s="1">
        <v>1</v>
      </c>
      <c r="AP272" s="1">
        <v>250</v>
      </c>
      <c r="AQ272" s="2" t="s">
        <v>554</v>
      </c>
      <c r="AR272" s="1" t="s">
        <v>1106</v>
      </c>
    </row>
    <row r="273" spans="1:44" x14ac:dyDescent="0.2">
      <c r="A273" s="22" t="s">
        <v>1107</v>
      </c>
      <c r="B273" s="1" t="s">
        <v>1108</v>
      </c>
      <c r="C273" s="1" t="s">
        <v>1109</v>
      </c>
      <c r="D273" s="1" t="str">
        <f t="shared" si="20"/>
        <v>Documents\GitHub\Ozon_upload\barcode\amazing pics\Термонаклейка Собачка в очках язык.pdf</v>
      </c>
      <c r="E273" s="23" t="str">
        <f t="shared" si="21"/>
        <v>C:\Users\maxim\Documents\GitHub\Ozon_upload\DTF_images\tatyana\A5\set1\dog_little_cute_ac12_tat_horiz.tif</v>
      </c>
      <c r="F273" s="1">
        <v>0</v>
      </c>
      <c r="G273" s="1">
        <v>2</v>
      </c>
      <c r="I273" s="1" t="s">
        <v>1110</v>
      </c>
      <c r="K273" s="1" t="s">
        <v>1075</v>
      </c>
      <c r="AM273" s="1">
        <v>17</v>
      </c>
      <c r="AN273" s="1">
        <v>180</v>
      </c>
      <c r="AO273" s="1">
        <v>1</v>
      </c>
      <c r="AP273" s="1">
        <v>250</v>
      </c>
      <c r="AQ273" s="2" t="s">
        <v>554</v>
      </c>
      <c r="AR273" s="1" t="s">
        <v>1111</v>
      </c>
    </row>
    <row r="274" spans="1:44" x14ac:dyDescent="0.2">
      <c r="A274" s="22" t="s">
        <v>1112</v>
      </c>
      <c r="B274" s="1" t="s">
        <v>1113</v>
      </c>
      <c r="C274" s="1" t="s">
        <v>1114</v>
      </c>
      <c r="D274" s="1" t="str">
        <f t="shared" si="20"/>
        <v>Documents\GitHub\Ozon_upload\barcode\amazing pics\Термонаклейка Собачка синий бантик.pdf</v>
      </c>
      <c r="E274" s="23" t="str">
        <f t="shared" si="21"/>
        <v>C:\Users\maxim\Documents\GitHub\Ozon_upload\DTF_images\tatyana\A5\set1\dog_little_cute_af45_vert.tif</v>
      </c>
      <c r="F274" s="1">
        <v>0</v>
      </c>
      <c r="G274" s="1">
        <v>2</v>
      </c>
      <c r="I274" s="1" t="s">
        <v>1115</v>
      </c>
      <c r="K274" s="1" t="s">
        <v>1075</v>
      </c>
      <c r="AM274" s="1">
        <v>17</v>
      </c>
      <c r="AN274" s="1">
        <v>180</v>
      </c>
      <c r="AO274" s="1">
        <v>1</v>
      </c>
      <c r="AP274" s="1">
        <v>250</v>
      </c>
      <c r="AQ274" s="2" t="s">
        <v>554</v>
      </c>
      <c r="AR274" s="1" t="s">
        <v>1116</v>
      </c>
    </row>
    <row r="275" spans="1:44" x14ac:dyDescent="0.2">
      <c r="A275" s="22" t="s">
        <v>1117</v>
      </c>
      <c r="B275" s="1" t="s">
        <v>1118</v>
      </c>
      <c r="C275" s="1" t="s">
        <v>1119</v>
      </c>
      <c r="D275" s="1" t="str">
        <f t="shared" si="20"/>
        <v>Documents\GitHub\Ozon_upload\barcode\amazing pics\Термонаклейка Собачка красный бантик.pdf</v>
      </c>
      <c r="E275" s="23" t="str">
        <f t="shared" si="21"/>
        <v>C:\Users\maxim\Documents\GitHub\Ozon_upload\DTF_images\tatyana\A5\set1\dog_sd12_tat_vert.tif</v>
      </c>
      <c r="F275" s="1">
        <v>0</v>
      </c>
      <c r="G275" s="1">
        <v>2</v>
      </c>
      <c r="I275" s="1" t="s">
        <v>1120</v>
      </c>
      <c r="K275" s="1" t="s">
        <v>1075</v>
      </c>
      <c r="AM275" s="1">
        <v>17</v>
      </c>
      <c r="AN275" s="1">
        <v>180</v>
      </c>
      <c r="AO275" s="1">
        <v>1</v>
      </c>
      <c r="AP275" s="1">
        <v>250</v>
      </c>
      <c r="AQ275" s="2" t="s">
        <v>554</v>
      </c>
      <c r="AR275" s="1" t="s">
        <v>1121</v>
      </c>
    </row>
    <row r="276" spans="1:44" x14ac:dyDescent="0.2">
      <c r="A276" s="22" t="s">
        <v>1122</v>
      </c>
      <c r="B276" s="1" t="s">
        <v>1123</v>
      </c>
      <c r="C276" s="1" t="s">
        <v>1124</v>
      </c>
      <c r="D276" s="1" t="str">
        <f t="shared" si="20"/>
        <v>Documents\GitHub\Ozon_upload\barcode\amazing pics\Термонаклейка Эльза Анна Холодное сердце паттерн.pdf</v>
      </c>
      <c r="E276" s="23" t="str">
        <f t="shared" si="21"/>
        <v>C:\Users\maxim\Documents\GitHub\Ozon_upload\DTF_images\tatyana\A5\set1\elsa_ad11_tat_vert.tif</v>
      </c>
      <c r="F276" s="1">
        <v>0</v>
      </c>
      <c r="G276" s="1">
        <v>2</v>
      </c>
      <c r="I276" s="1" t="s">
        <v>1125</v>
      </c>
      <c r="K276" s="1" t="s">
        <v>1075</v>
      </c>
      <c r="AM276" s="1">
        <v>17</v>
      </c>
      <c r="AN276" s="1">
        <v>180</v>
      </c>
      <c r="AO276" s="1">
        <v>1</v>
      </c>
      <c r="AP276" s="1">
        <v>250</v>
      </c>
      <c r="AQ276" s="2" t="s">
        <v>554</v>
      </c>
      <c r="AR276" s="1" t="s">
        <v>1126</v>
      </c>
    </row>
    <row r="277" spans="1:44" x14ac:dyDescent="0.2">
      <c r="A277" s="22" t="s">
        <v>1127</v>
      </c>
      <c r="B277" s="1" t="s">
        <v>1128</v>
      </c>
      <c r="C277" s="1" t="s">
        <v>1129</v>
      </c>
      <c r="D277" s="1" t="str">
        <f t="shared" si="20"/>
        <v>Documents\GitHub\Ozon_upload\barcode\amazing pics\Термонаклейка Эльза Холодное сердце синий круг.pdf</v>
      </c>
      <c r="E277" s="23" t="str">
        <f t="shared" si="21"/>
        <v>C:\Users\maxim\Documents\GitHub\Ozon_upload\DTF_images\tatyana\A5\set1\elsa_frozen_disneyfg56_tat_vert.tif</v>
      </c>
      <c r="F277" s="1">
        <v>0</v>
      </c>
      <c r="G277" s="1">
        <v>2</v>
      </c>
      <c r="I277" s="1" t="s">
        <v>1130</v>
      </c>
      <c r="K277" s="1" t="s">
        <v>1075</v>
      </c>
      <c r="AM277" s="1">
        <v>17</v>
      </c>
      <c r="AN277" s="1">
        <v>180</v>
      </c>
      <c r="AO277" s="1">
        <v>1</v>
      </c>
      <c r="AP277" s="1">
        <v>250</v>
      </c>
      <c r="AQ277" s="2" t="s">
        <v>554</v>
      </c>
      <c r="AR277" s="1" t="s">
        <v>1131</v>
      </c>
    </row>
    <row r="278" spans="1:44" x14ac:dyDescent="0.2">
      <c r="A278" s="22" t="s">
        <v>1132</v>
      </c>
      <c r="B278" s="1" t="s">
        <v>1133</v>
      </c>
      <c r="C278" s="1" t="s">
        <v>1134</v>
      </c>
      <c r="D278" s="1" t="str">
        <f t="shared" si="20"/>
        <v>Documents\GitHub\Ozon_upload\barcode\amazing pics\Термонаклейка Жирафвыглядывает замок одежды.pdf</v>
      </c>
      <c r="E278" s="23" t="str">
        <f t="shared" si="21"/>
        <v>C:\Users\maxim\Documents\GitHub\Ozon_upload\DTF_images\tatyana\A5\set1\giraf_ab11_tat_vert.tif</v>
      </c>
      <c r="F278" s="1">
        <v>0</v>
      </c>
      <c r="G278" s="1">
        <v>2</v>
      </c>
      <c r="I278" s="1" t="s">
        <v>1135</v>
      </c>
      <c r="K278" s="1" t="s">
        <v>1075</v>
      </c>
      <c r="AM278" s="1">
        <v>17</v>
      </c>
      <c r="AN278" s="1">
        <v>180</v>
      </c>
      <c r="AO278" s="1">
        <v>1</v>
      </c>
      <c r="AP278" s="1">
        <v>250</v>
      </c>
      <c r="AQ278" s="2" t="s">
        <v>554</v>
      </c>
      <c r="AR278" s="1" t="s">
        <v>1136</v>
      </c>
    </row>
    <row r="279" spans="1:44" x14ac:dyDescent="0.2">
      <c r="A279" s="22" t="s">
        <v>1137</v>
      </c>
      <c r="B279" s="1" t="s">
        <v>1138</v>
      </c>
      <c r="C279" s="1" t="s">
        <v>1139</v>
      </c>
      <c r="D279" s="1" t="str">
        <f t="shared" si="20"/>
        <v>Documents\GitHub\Ozon_upload\barcode\amazing pics\Термонаклейка Марвел супергерои 4 верт фона.pdf</v>
      </c>
      <c r="E279" s="23" t="str">
        <f t="shared" si="21"/>
        <v>C:\Users\maxim\Documents\GitHub\Ozon_upload\DTF_images\tatyana\A5\set1\marvel_ag45_tat_horiz.tif</v>
      </c>
      <c r="F279" s="1">
        <v>1</v>
      </c>
      <c r="G279" s="1">
        <v>2</v>
      </c>
      <c r="I279" s="1" t="s">
        <v>1140</v>
      </c>
      <c r="K279" s="1" t="s">
        <v>1075</v>
      </c>
      <c r="AM279" s="1">
        <v>17</v>
      </c>
      <c r="AN279" s="1">
        <v>180</v>
      </c>
      <c r="AO279" s="1">
        <v>1</v>
      </c>
      <c r="AP279" s="1">
        <v>250</v>
      </c>
      <c r="AQ279" s="2" t="s">
        <v>554</v>
      </c>
      <c r="AR279" s="1" t="s">
        <v>1141</v>
      </c>
    </row>
    <row r="280" spans="1:44" x14ac:dyDescent="0.2">
      <c r="A280" s="22" t="s">
        <v>1142</v>
      </c>
      <c r="B280" s="1" t="s">
        <v>1143</v>
      </c>
      <c r="C280" s="1" t="s">
        <v>1144</v>
      </c>
      <c r="D280" s="1" t="str">
        <f t="shared" si="20"/>
        <v>Documents\GitHub\Ozon_upload\barcode\amazing pics\Термонаклейка Русалочка поправляет прическу.pdf</v>
      </c>
      <c r="E280" s="23" t="str">
        <f t="shared" si="21"/>
        <v>C:\Users\maxim\Documents\GitHub\Ozon_upload\DTF_images\tatyana\A5\set1\mermaid_dd11_tat_vert.tif</v>
      </c>
      <c r="F280" s="1">
        <v>0</v>
      </c>
      <c r="G280" s="1">
        <v>2</v>
      </c>
      <c r="I280" s="1" t="s">
        <v>1145</v>
      </c>
      <c r="K280" s="1" t="s">
        <v>1075</v>
      </c>
      <c r="AM280" s="1">
        <v>17</v>
      </c>
      <c r="AN280" s="1">
        <v>180</v>
      </c>
      <c r="AO280" s="1">
        <v>1</v>
      </c>
      <c r="AP280" s="1">
        <v>250</v>
      </c>
      <c r="AQ280" s="2" t="s">
        <v>554</v>
      </c>
      <c r="AR280" s="1" t="s">
        <v>1146</v>
      </c>
    </row>
    <row r="281" spans="1:44" x14ac:dyDescent="0.2">
      <c r="A281" s="22" t="s">
        <v>1147</v>
      </c>
      <c r="B281" s="1" t="s">
        <v>1148</v>
      </c>
      <c r="C281" s="1" t="s">
        <v>1149</v>
      </c>
      <c r="D281" s="1" t="str">
        <f t="shared" si="20"/>
        <v>Documents\GitHub\Ozon_upload\barcode\amazing pics\Термонаклейка Миньоны на банане.pdf</v>
      </c>
      <c r="E281" s="23" t="str">
        <f t="shared" si="21"/>
        <v>C:\Users\maxim\Documents\GitHub\Ozon_upload\DTF_images\tatyana\A5\set1\minions_ed12_tat_horiz.tif</v>
      </c>
      <c r="F281" s="1">
        <v>1</v>
      </c>
      <c r="G281" s="1">
        <v>2</v>
      </c>
      <c r="I281" s="1" t="s">
        <v>1150</v>
      </c>
      <c r="K281" s="1" t="s">
        <v>1075</v>
      </c>
      <c r="AM281" s="1">
        <v>17</v>
      </c>
      <c r="AN281" s="1">
        <v>180</v>
      </c>
      <c r="AO281" s="1">
        <v>1</v>
      </c>
      <c r="AP281" s="1">
        <v>250</v>
      </c>
      <c r="AQ281" s="2" t="s">
        <v>554</v>
      </c>
      <c r="AR281" s="1" t="s">
        <v>1151</v>
      </c>
    </row>
    <row r="282" spans="1:44" x14ac:dyDescent="0.2">
      <c r="A282" s="22" t="s">
        <v>1152</v>
      </c>
      <c r="B282" s="1" t="s">
        <v>1153</v>
      </c>
      <c r="C282" s="1" t="s">
        <v>1154</v>
      </c>
      <c r="D282" s="1" t="str">
        <f t="shared" si="20"/>
        <v>Documents\GitHub\Ozon_upload\barcode\amazing pics\Термонаклейка Минни Маус Единорог розовый.pdf</v>
      </c>
      <c r="E282" s="23" t="str">
        <f t="shared" si="21"/>
        <v>C:\Users\maxim\Documents\GitHub\Ozon_upload\DTF_images\tatyana\A5\set1\minni_mouse_ad11_tat_horiz.tif</v>
      </c>
      <c r="F282" s="1">
        <v>0</v>
      </c>
      <c r="G282" s="1">
        <v>2</v>
      </c>
      <c r="I282" s="1" t="s">
        <v>1155</v>
      </c>
      <c r="K282" s="1" t="s">
        <v>1075</v>
      </c>
      <c r="AM282" s="1">
        <v>17</v>
      </c>
      <c r="AN282" s="1">
        <v>180</v>
      </c>
      <c r="AO282" s="1">
        <v>1</v>
      </c>
      <c r="AP282" s="1">
        <v>250</v>
      </c>
      <c r="AQ282" s="2" t="s">
        <v>554</v>
      </c>
      <c r="AR282" s="1" t="s">
        <v>1156</v>
      </c>
    </row>
    <row r="283" spans="1:44" x14ac:dyDescent="0.2">
      <c r="A283" s="22" t="s">
        <v>1157</v>
      </c>
      <c r="B283" s="1" t="s">
        <v>1158</v>
      </c>
      <c r="C283" s="1" t="s">
        <v>1159</v>
      </c>
      <c r="D283" s="1" t="str">
        <f t="shared" si="20"/>
        <v>Documents\GitHub\Ozon_upload\barcode\amazing pics\Термонаклейка Сова розовая.pdf</v>
      </c>
      <c r="E283" s="23" t="str">
        <f t="shared" si="21"/>
        <v>C:\Users\maxim\Documents\GitHub\Ozon_upload\DTF_images\tatyana\A5\set1\owl_ff11_tat_vert.tif</v>
      </c>
      <c r="F283" s="1">
        <v>0</v>
      </c>
      <c r="G283" s="1">
        <v>2</v>
      </c>
      <c r="I283" s="1" t="s">
        <v>1160</v>
      </c>
      <c r="K283" s="1" t="s">
        <v>1075</v>
      </c>
      <c r="AM283" s="1">
        <v>17</v>
      </c>
      <c r="AN283" s="1">
        <v>180</v>
      </c>
      <c r="AO283" s="1">
        <v>1</v>
      </c>
      <c r="AP283" s="1">
        <v>250</v>
      </c>
      <c r="AQ283" s="2" t="s">
        <v>554</v>
      </c>
      <c r="AR283" s="1" t="s">
        <v>1161</v>
      </c>
    </row>
    <row r="284" spans="1:44" x14ac:dyDescent="0.2">
      <c r="A284" s="22" t="s">
        <v>1162</v>
      </c>
      <c r="B284" s="1" t="s">
        <v>1163</v>
      </c>
      <c r="C284" s="1" t="s">
        <v>1164</v>
      </c>
      <c r="D284" s="1" t="str">
        <f t="shared" si="20"/>
        <v>Documents\GitHub\Ozon_upload\barcode\amazing pics\Термонаклейка Щенячий патруль 2 Маршал Крепыш.pdf</v>
      </c>
      <c r="E284" s="23" t="str">
        <f t="shared" si="21"/>
        <v>C:\Users\maxim\Documents\GitHub\Ozon_upload\DTF_images\tatyana\A5\set1\paw_patrol_as12_tat_vert.tif</v>
      </c>
      <c r="F284" s="1">
        <v>0</v>
      </c>
      <c r="G284" s="1">
        <v>2</v>
      </c>
      <c r="I284" s="1" t="s">
        <v>1165</v>
      </c>
      <c r="K284" s="1" t="s">
        <v>1075</v>
      </c>
      <c r="AM284" s="1">
        <v>17</v>
      </c>
      <c r="AN284" s="1">
        <v>180</v>
      </c>
      <c r="AO284" s="1">
        <v>1</v>
      </c>
      <c r="AP284" s="1">
        <v>250</v>
      </c>
      <c r="AQ284" s="2" t="s">
        <v>554</v>
      </c>
      <c r="AR284" s="1" t="s">
        <v>1166</v>
      </c>
    </row>
    <row r="285" spans="1:44" x14ac:dyDescent="0.2">
      <c r="A285" s="24" t="s">
        <v>1167</v>
      </c>
      <c r="B285" s="1" t="s">
        <v>1168</v>
      </c>
      <c r="C285" s="1" t="s">
        <v>1169</v>
      </c>
      <c r="D285" s="1" t="str">
        <f t="shared" si="20"/>
        <v>Documents\GitHub\Ozon_upload\barcode\amazing pics\Термонаклейка Покемоны Пикачу и Эш Кетчум.pdf</v>
      </c>
      <c r="E285" s="23" t="str">
        <f t="shared" si="21"/>
        <v>C:\Users\maxim\Documents\GitHub\Ozon_upload\DTF_images\tatyana\A5\set1\pokemon_gg44_tat_vert.tif</v>
      </c>
      <c r="F285" s="1">
        <v>0</v>
      </c>
      <c r="G285" s="1">
        <v>2</v>
      </c>
      <c r="I285" s="1" t="s">
        <v>1170</v>
      </c>
      <c r="K285" s="1" t="s">
        <v>1075</v>
      </c>
      <c r="AM285" s="1">
        <v>17</v>
      </c>
      <c r="AN285" s="1">
        <v>180</v>
      </c>
      <c r="AO285" s="1">
        <v>1</v>
      </c>
      <c r="AP285" s="1">
        <v>250</v>
      </c>
      <c r="AQ285" s="2" t="s">
        <v>554</v>
      </c>
      <c r="AR285" s="1" t="s">
        <v>1171</v>
      </c>
    </row>
    <row r="286" spans="1:44" x14ac:dyDescent="0.2">
      <c r="A286" s="22" t="s">
        <v>1172</v>
      </c>
      <c r="B286" s="1" t="s">
        <v>1173</v>
      </c>
      <c r="C286" s="1" t="s">
        <v>1174</v>
      </c>
      <c r="D286" s="1" t="str">
        <f t="shared" si="20"/>
        <v>Documents\GitHub\Ozon_upload\barcode\amazing pics\Термонаклейка Винни Пух и друзья на шаре.pdf</v>
      </c>
      <c r="E286" s="23" t="str">
        <f t="shared" si="21"/>
        <v>C:\Users\maxim\Documents\GitHub\Ozon_upload\DTF_images\tatyana\A5\set1\pooh_qq11_tat_horiz.tif</v>
      </c>
      <c r="F286" s="1">
        <v>0</v>
      </c>
      <c r="G286" s="1">
        <v>2</v>
      </c>
      <c r="I286" s="1" t="s">
        <v>1175</v>
      </c>
      <c r="K286" s="1" t="s">
        <v>1075</v>
      </c>
      <c r="AM286" s="1">
        <v>17</v>
      </c>
      <c r="AN286" s="1">
        <v>180</v>
      </c>
      <c r="AO286" s="1">
        <v>1</v>
      </c>
      <c r="AP286" s="1">
        <v>250</v>
      </c>
      <c r="AQ286" s="2" t="s">
        <v>554</v>
      </c>
      <c r="AR286" s="1" t="s">
        <v>1176</v>
      </c>
    </row>
    <row r="287" spans="1:44" x14ac:dyDescent="0.2">
      <c r="A287" s="22" t="s">
        <v>1177</v>
      </c>
      <c r="B287" s="1" t="s">
        <v>1178</v>
      </c>
      <c r="C287" s="1" t="s">
        <v>1179</v>
      </c>
      <c r="D287" s="1" t="str">
        <f t="shared" si="20"/>
        <v>Documents\GitHub\Ozon_upload\barcode\amazing pics\Термонаклейка Зайчик синий комбинезон шагает.pdf</v>
      </c>
      <c r="E287" s="23" t="str">
        <f t="shared" si="21"/>
        <v>C:\Users\maxim\Documents\GitHub\Ozon_upload\DTF_images\tatyana\A5\set1\rabbit_df12_vert.tif</v>
      </c>
      <c r="F287" s="1">
        <v>0</v>
      </c>
      <c r="G287" s="1">
        <v>2</v>
      </c>
      <c r="I287" s="1" t="s">
        <v>1180</v>
      </c>
      <c r="K287" s="1" t="s">
        <v>1075</v>
      </c>
      <c r="AM287" s="1">
        <v>17</v>
      </c>
      <c r="AN287" s="1">
        <v>180</v>
      </c>
      <c r="AO287" s="1">
        <v>1</v>
      </c>
      <c r="AP287" s="1">
        <v>250</v>
      </c>
      <c r="AQ287" s="2" t="s">
        <v>554</v>
      </c>
      <c r="AR287" s="1" t="s">
        <v>1181</v>
      </c>
    </row>
    <row r="288" spans="1:44" x14ac:dyDescent="0.2">
      <c r="A288" s="22" t="s">
        <v>1182</v>
      </c>
      <c r="B288" s="1" t="s">
        <v>1183</v>
      </c>
      <c r="C288" s="1" t="s">
        <v>1184</v>
      </c>
      <c r="D288" s="1" t="str">
        <f t="shared" si="20"/>
        <v>Documents\GitHub\Ozon_upload\barcode\amazing pics\Термонаклейка Зайчик ромашка в руках.pdf</v>
      </c>
      <c r="E288" s="23" t="str">
        <f t="shared" si="21"/>
        <v>C:\Users\maxim\Documents\GitHub\Ozon_upload\DTF_images\tatyana\A5\set1\rabbit_we11_tat_horiz.tif</v>
      </c>
      <c r="F288" s="1">
        <v>0</v>
      </c>
      <c r="G288" s="1">
        <v>2</v>
      </c>
      <c r="I288" s="1" t="s">
        <v>1185</v>
      </c>
      <c r="K288" s="1" t="s">
        <v>1075</v>
      </c>
      <c r="AM288" s="1">
        <v>17</v>
      </c>
      <c r="AN288" s="1">
        <v>180</v>
      </c>
      <c r="AO288" s="1">
        <v>1</v>
      </c>
      <c r="AP288" s="1">
        <v>250</v>
      </c>
      <c r="AQ288" s="2" t="s">
        <v>554</v>
      </c>
      <c r="AR288" s="1" t="s">
        <v>1186</v>
      </c>
    </row>
    <row r="289" spans="1:44" x14ac:dyDescent="0.2">
      <c r="A289" s="22" t="s">
        <v>1187</v>
      </c>
      <c r="B289" s="1" t="s">
        <v>1188</v>
      </c>
      <c r="C289" s="1" t="s">
        <v>1189</v>
      </c>
      <c r="D289" s="1" t="str">
        <f t="shared" si="20"/>
        <v>Documents\GitHub\Ozon_upload\barcode\amazing pics\Термонаклейка Акула серфинг в очках.pdf</v>
      </c>
      <c r="E289" s="23" t="str">
        <f t="shared" si="21"/>
        <v>C:\Users\maxim\Documents\GitHub\Ozon_upload\DTF_images\tatyana\A5\set1\shark_af45_vert.tif</v>
      </c>
      <c r="F289" s="1">
        <v>0</v>
      </c>
      <c r="G289" s="1">
        <v>2</v>
      </c>
      <c r="I289" s="1" t="s">
        <v>1190</v>
      </c>
      <c r="K289" s="1" t="s">
        <v>1075</v>
      </c>
      <c r="AM289" s="1">
        <v>17</v>
      </c>
      <c r="AN289" s="1">
        <v>180</v>
      </c>
      <c r="AO289" s="1">
        <v>1</v>
      </c>
      <c r="AP289" s="1">
        <v>250</v>
      </c>
      <c r="AQ289" s="2" t="s">
        <v>554</v>
      </c>
      <c r="AR289" s="1" t="s">
        <v>1191</v>
      </c>
    </row>
    <row r="290" spans="1:44" x14ac:dyDescent="0.2">
      <c r="A290" s="22" t="s">
        <v>1192</v>
      </c>
      <c r="B290" s="1" t="s">
        <v>1193</v>
      </c>
      <c r="C290" s="1" t="s">
        <v>1194</v>
      </c>
      <c r="D290" s="1" t="str">
        <f t="shared" si="20"/>
        <v>Documents\GitHub\Ozon_upload\barcode\amazing pics\Термонаклейка Соник Ежик бежит пис мир рука.pdf</v>
      </c>
      <c r="E290" s="23" t="str">
        <f t="shared" si="21"/>
        <v>C:\Users\maxim\Documents\GitHub\Ozon_upload\DTF_images\tatyana\A5\set1\sonic_df45_tat_vert.tif</v>
      </c>
      <c r="F290" s="1">
        <v>0</v>
      </c>
      <c r="G290" s="1">
        <v>2</v>
      </c>
      <c r="I290" s="1" t="s">
        <v>1195</v>
      </c>
      <c r="K290" s="1" t="s">
        <v>1075</v>
      </c>
      <c r="AM290" s="1">
        <v>17</v>
      </c>
      <c r="AN290" s="1">
        <v>180</v>
      </c>
      <c r="AO290" s="1">
        <v>1</v>
      </c>
      <c r="AP290" s="1">
        <v>250</v>
      </c>
      <c r="AQ290" s="2" t="s">
        <v>554</v>
      </c>
      <c r="AR290" s="1" t="s">
        <v>1196</v>
      </c>
    </row>
    <row r="291" spans="1:44" x14ac:dyDescent="0.2">
      <c r="A291" s="22" t="s">
        <v>1197</v>
      </c>
      <c r="B291" s="1" t="s">
        <v>1198</v>
      </c>
      <c r="C291" s="1" t="s">
        <v>1199</v>
      </c>
      <c r="D291" s="1" t="str">
        <f t="shared" si="20"/>
        <v>Documents\GitHub\Ozon_upload\barcode\amazing pics\Термонаклейка Соник Ежик бежит синий фон краски.pdf</v>
      </c>
      <c r="E291" s="23" t="str">
        <f t="shared" si="21"/>
        <v>C:\Users\maxim\Documents\GitHub\Ozon_upload\DTF_images\tatyana\A5\set1\sonic_df46_tat_horiz.tif</v>
      </c>
      <c r="F291" s="1">
        <v>1</v>
      </c>
      <c r="G291" s="1">
        <v>2</v>
      </c>
      <c r="I291" s="1" t="s">
        <v>1200</v>
      </c>
      <c r="K291" s="1" t="s">
        <v>1075</v>
      </c>
      <c r="AM291" s="1">
        <v>17</v>
      </c>
      <c r="AN291" s="1">
        <v>180</v>
      </c>
      <c r="AO291" s="1">
        <v>1</v>
      </c>
      <c r="AP291" s="1">
        <v>250</v>
      </c>
      <c r="AQ291" s="2" t="s">
        <v>554</v>
      </c>
      <c r="AR291" s="1" t="s">
        <v>1201</v>
      </c>
    </row>
    <row r="292" spans="1:44" x14ac:dyDescent="0.2">
      <c r="A292" s="22" t="s">
        <v>1202</v>
      </c>
      <c r="B292" s="1" t="s">
        <v>1203</v>
      </c>
      <c r="C292" s="1" t="s">
        <v>1204</v>
      </c>
      <c r="D292" s="1" t="str">
        <f t="shared" si="20"/>
        <v>Documents\GitHub\Ozon_upload\barcode\amazing pics\Термонаклейка Человек Паук Лого позади.pdf</v>
      </c>
      <c r="E292" s="23" t="str">
        <f t="shared" si="21"/>
        <v>C:\Users\maxim\Documents\GitHub\Ozon_upload\DTF_images\tatyana\A5\set1\spider_ad12_tat_vert.tif</v>
      </c>
      <c r="F292" s="1">
        <v>0</v>
      </c>
      <c r="G292" s="1">
        <v>2</v>
      </c>
      <c r="I292" s="1" t="s">
        <v>1205</v>
      </c>
      <c r="K292" s="1" t="s">
        <v>1075</v>
      </c>
      <c r="AM292" s="1">
        <v>17</v>
      </c>
      <c r="AN292" s="1">
        <v>180</v>
      </c>
      <c r="AO292" s="1">
        <v>1</v>
      </c>
      <c r="AP292" s="1">
        <v>250</v>
      </c>
      <c r="AQ292" s="2" t="s">
        <v>554</v>
      </c>
      <c r="AR292" s="1" t="s">
        <v>1206</v>
      </c>
    </row>
    <row r="293" spans="1:44" x14ac:dyDescent="0.2">
      <c r="A293" s="22" t="s">
        <v>1207</v>
      </c>
      <c r="B293" s="1" t="s">
        <v>1208</v>
      </c>
      <c r="C293" s="1" t="s">
        <v>1209</v>
      </c>
      <c r="D293" s="1" t="str">
        <f t="shared" si="20"/>
        <v>Documents\GitHub\Ozon_upload\barcode\amazing pics\Термонаклейка Человек Паук Лого круг.pdf</v>
      </c>
      <c r="E293" s="23" t="str">
        <f t="shared" si="21"/>
        <v>C:\Users\maxim\Documents\GitHub\Ozon_upload\DTF_images\tatyana\A5\set1\spider_as14_tat_vert.tif</v>
      </c>
      <c r="F293" s="1">
        <v>0</v>
      </c>
      <c r="G293" s="1">
        <v>2</v>
      </c>
      <c r="I293" s="1" t="s">
        <v>1210</v>
      </c>
      <c r="K293" s="1" t="s">
        <v>1075</v>
      </c>
      <c r="AM293" s="1">
        <v>17</v>
      </c>
      <c r="AN293" s="1">
        <v>180</v>
      </c>
      <c r="AO293" s="1">
        <v>1</v>
      </c>
      <c r="AP293" s="1">
        <v>250</v>
      </c>
      <c r="AQ293" s="2" t="s">
        <v>554</v>
      </c>
      <c r="AR293" s="1" t="s">
        <v>1211</v>
      </c>
    </row>
    <row r="294" spans="1:44" x14ac:dyDescent="0.2">
      <c r="A294" s="22" t="s">
        <v>1212</v>
      </c>
      <c r="B294" s="1" t="s">
        <v>1213</v>
      </c>
      <c r="C294" s="1" t="s">
        <v>1214</v>
      </c>
      <c r="D294" s="1" t="str">
        <f t="shared" si="20"/>
        <v>Documents\GitHub\Ozon_upload\barcode\amazing pics\Термонаклейка Человек Паук синий желтый круг.pdf</v>
      </c>
      <c r="E294" s="23" t="str">
        <f t="shared" si="21"/>
        <v>C:\Users\maxim\Documents\GitHub\Ozon_upload\DTF_images\tatyana\A5\set1\spider_cg34_tat_vert.tif</v>
      </c>
      <c r="F294" s="1">
        <v>0</v>
      </c>
      <c r="G294" s="1">
        <v>2</v>
      </c>
      <c r="I294" s="1" t="s">
        <v>1215</v>
      </c>
      <c r="K294" s="1" t="s">
        <v>1075</v>
      </c>
      <c r="AM294" s="1">
        <v>17</v>
      </c>
      <c r="AN294" s="1">
        <v>180</v>
      </c>
      <c r="AO294" s="1">
        <v>1</v>
      </c>
      <c r="AP294" s="1">
        <v>250</v>
      </c>
      <c r="AQ294" s="2" t="s">
        <v>554</v>
      </c>
      <c r="AR294" s="1" t="s">
        <v>1216</v>
      </c>
    </row>
    <row r="295" spans="1:44" x14ac:dyDescent="0.2">
      <c r="A295" s="22" t="s">
        <v>1217</v>
      </c>
      <c r="B295" s="1" t="s">
        <v>1218</v>
      </c>
      <c r="C295" s="1" t="s">
        <v>1219</v>
      </c>
      <c r="D295" s="1" t="str">
        <f t="shared" si="20"/>
        <v>Documents\GitHub\Ozon_upload\barcode\amazing pics\Термонаклейка Человек Паук синий белый круг.pdf</v>
      </c>
      <c r="E295" s="23" t="str">
        <f t="shared" si="21"/>
        <v>C:\Users\maxim\Documents\GitHub\Ozon_upload\DTF_images\tatyana\A5\set1\spider_df12_tat_vert.tif</v>
      </c>
      <c r="F295" s="1">
        <v>0</v>
      </c>
      <c r="G295" s="1">
        <v>2</v>
      </c>
      <c r="I295" s="1" t="s">
        <v>1220</v>
      </c>
      <c r="K295" s="1" t="s">
        <v>1075</v>
      </c>
      <c r="AM295" s="1">
        <v>17</v>
      </c>
      <c r="AN295" s="1">
        <v>180</v>
      </c>
      <c r="AO295" s="1">
        <v>1</v>
      </c>
      <c r="AP295" s="1">
        <v>250</v>
      </c>
      <c r="AQ295" s="2" t="s">
        <v>554</v>
      </c>
      <c r="AR295" s="1" t="s">
        <v>1221</v>
      </c>
    </row>
    <row r="296" spans="1:44" x14ac:dyDescent="0.2">
      <c r="A296" s="22" t="s">
        <v>1222</v>
      </c>
      <c r="B296" s="1" t="s">
        <v>1223</v>
      </c>
      <c r="C296" s="1" t="s">
        <v>1224</v>
      </c>
      <c r="D296" s="1" t="str">
        <f t="shared" si="20"/>
        <v>Documents\GitHub\Ozon_upload\barcode\amazing pics\Термонаклейка Человек Паук круг надпись снизу.pdf</v>
      </c>
      <c r="E296" s="23" t="str">
        <f t="shared" si="21"/>
        <v>C:\Users\maxim\Documents\GitHub\Ozon_upload\DTF_images\tatyana\A5\set1\spider_df45_tat_vert.tif</v>
      </c>
      <c r="F296" s="1">
        <v>0</v>
      </c>
      <c r="G296" s="1">
        <v>2</v>
      </c>
      <c r="I296" s="1" t="s">
        <v>1225</v>
      </c>
      <c r="K296" s="1" t="s">
        <v>1075</v>
      </c>
      <c r="AM296" s="1">
        <v>17</v>
      </c>
      <c r="AN296" s="1">
        <v>180</v>
      </c>
      <c r="AO296" s="1">
        <v>1</v>
      </c>
      <c r="AP296" s="1">
        <v>250</v>
      </c>
      <c r="AQ296" s="2" t="s">
        <v>554</v>
      </c>
      <c r="AR296" s="1" t="s">
        <v>1226</v>
      </c>
    </row>
    <row r="297" spans="1:44" x14ac:dyDescent="0.2">
      <c r="A297" s="22" t="s">
        <v>1227</v>
      </c>
      <c r="B297" s="1" t="s">
        <v>1228</v>
      </c>
      <c r="C297" s="1" t="s">
        <v>1229</v>
      </c>
      <c r="D297" s="1" t="str">
        <f t="shared" si="20"/>
        <v>Documents\GitHub\Ozon_upload\barcode\amazing pics\Термонаклейка Человек Паук круг красный синий.pdf</v>
      </c>
      <c r="E297" s="23" t="str">
        <f t="shared" si="21"/>
        <v>C:\Users\maxim\Documents\GitHub\Ozon_upload\DTF_images\tatyana\A5\set1\spider_fg56_tat_vert.tif</v>
      </c>
      <c r="F297" s="1">
        <v>0</v>
      </c>
      <c r="G297" s="1">
        <v>2</v>
      </c>
      <c r="I297" s="1" t="s">
        <v>1230</v>
      </c>
      <c r="K297" s="1" t="s">
        <v>1075</v>
      </c>
      <c r="AM297" s="1">
        <v>17</v>
      </c>
      <c r="AN297" s="1">
        <v>180</v>
      </c>
      <c r="AO297" s="1">
        <v>1</v>
      </c>
      <c r="AP297" s="1">
        <v>250</v>
      </c>
      <c r="AQ297" s="2" t="s">
        <v>554</v>
      </c>
      <c r="AR297" s="1" t="s">
        <v>1231</v>
      </c>
    </row>
    <row r="298" spans="1:44" x14ac:dyDescent="0.2">
      <c r="A298" s="22" t="s">
        <v>1232</v>
      </c>
      <c r="B298" s="1" t="s">
        <v>1233</v>
      </c>
      <c r="C298" s="1" t="s">
        <v>1234</v>
      </c>
      <c r="D298" s="1" t="str">
        <f t="shared" si="20"/>
        <v>Documents\GitHub\Ozon_upload\barcode\amazing pics\Термонаклейка Спанч Боб и друзья.pdf</v>
      </c>
      <c r="E298" s="23" t="str">
        <f t="shared" si="21"/>
        <v>C:\Users\maxim\Documents\GitHub\Ozon_upload\DTF_images\tatyana\A5\set1\spunch bob_ab11_tat_vert.tif</v>
      </c>
      <c r="F298" s="1">
        <v>0</v>
      </c>
      <c r="G298" s="1">
        <v>2</v>
      </c>
      <c r="I298" s="1" t="s">
        <v>1235</v>
      </c>
      <c r="K298" s="1" t="s">
        <v>1075</v>
      </c>
      <c r="AM298" s="1">
        <v>17</v>
      </c>
      <c r="AN298" s="1">
        <v>180</v>
      </c>
      <c r="AO298" s="1">
        <v>1</v>
      </c>
      <c r="AP298" s="1">
        <v>250</v>
      </c>
      <c r="AQ298" s="2" t="s">
        <v>554</v>
      </c>
      <c r="AR298" s="1" t="s">
        <v>1236</v>
      </c>
    </row>
    <row r="299" spans="1:44" x14ac:dyDescent="0.2">
      <c r="A299" s="22" t="s">
        <v>1237</v>
      </c>
      <c r="B299" s="1" t="s">
        <v>1238</v>
      </c>
      <c r="C299" s="1" t="s">
        <v>1239</v>
      </c>
      <c r="D299" s="1" t="str">
        <f t="shared" si="20"/>
        <v>Documents\GitHub\Ozon_upload\barcode\amazing pics\Термонаклейка Спанч Боб и друзья Keep Vibes.pdf</v>
      </c>
      <c r="E299" s="23" t="str">
        <f t="shared" si="21"/>
        <v>C:\Users\maxim\Documents\GitHub\Ozon_upload\DTF_images\tatyana\A5\set1\spunch bob_as12_tat_vert.tif</v>
      </c>
      <c r="F299" s="1">
        <v>0</v>
      </c>
      <c r="G299" s="1">
        <v>2</v>
      </c>
      <c r="I299" s="1" t="s">
        <v>1240</v>
      </c>
      <c r="K299" s="1" t="s">
        <v>1075</v>
      </c>
      <c r="AM299" s="1">
        <v>17</v>
      </c>
      <c r="AN299" s="1">
        <v>180</v>
      </c>
      <c r="AO299" s="1">
        <v>1</v>
      </c>
      <c r="AP299" s="1">
        <v>250</v>
      </c>
      <c r="AQ299" s="2" t="s">
        <v>554</v>
      </c>
      <c r="AR299" s="1" t="s">
        <v>1241</v>
      </c>
    </row>
    <row r="300" spans="1:44" x14ac:dyDescent="0.2">
      <c r="A300" s="22" t="s">
        <v>1242</v>
      </c>
      <c r="B300" s="1" t="s">
        <v>1243</v>
      </c>
      <c r="C300" s="1" t="s">
        <v>1244</v>
      </c>
      <c r="D300" s="1" t="str">
        <f t="shared" si="20"/>
        <v>Documents\GitHub\Ozon_upload\barcode\amazing pics\Термонаклейка Лило и Стич сидят.pdf</v>
      </c>
      <c r="E300" s="23" t="str">
        <f t="shared" si="21"/>
        <v>C:\Users\maxim\Documents\GitHub\Ozon_upload\DTF_images\tatyana\A5\set1\stich_as11_tat_horiz.tif</v>
      </c>
      <c r="F300" s="1">
        <v>1</v>
      </c>
      <c r="G300" s="1">
        <v>2</v>
      </c>
      <c r="I300" s="1" t="s">
        <v>1245</v>
      </c>
      <c r="K300" s="1" t="s">
        <v>1075</v>
      </c>
      <c r="AM300" s="1">
        <v>17</v>
      </c>
      <c r="AN300" s="1">
        <v>180</v>
      </c>
      <c r="AO300" s="1">
        <v>1</v>
      </c>
      <c r="AP300" s="1">
        <v>250</v>
      </c>
      <c r="AQ300" s="2" t="s">
        <v>554</v>
      </c>
      <c r="AR300" s="1" t="s">
        <v>1246</v>
      </c>
    </row>
    <row r="301" spans="1:44" x14ac:dyDescent="0.2">
      <c r="A301" s="22" t="s">
        <v>1247</v>
      </c>
      <c r="B301" s="1" t="s">
        <v>1248</v>
      </c>
      <c r="C301" s="1" t="s">
        <v>1249</v>
      </c>
      <c r="D301" s="1" t="str">
        <f t="shared" si="20"/>
        <v>Documents\GitHub\Ozon_upload\barcode\amazing pics\Термонаклейка Единороги голубой и розовый.pdf</v>
      </c>
      <c r="E301" s="23" t="str">
        <f t="shared" si="21"/>
        <v>C:\Users\maxim\Documents\GitHub\Ozon_upload\DTF_images\tatyana\A5\set1\unicorn_af41_tat_horiz.tif</v>
      </c>
      <c r="F301" s="1">
        <v>1</v>
      </c>
      <c r="G301" s="1">
        <v>2</v>
      </c>
      <c r="I301" s="1" t="s">
        <v>1250</v>
      </c>
      <c r="K301" s="1" t="s">
        <v>1075</v>
      </c>
      <c r="AM301" s="1">
        <v>17</v>
      </c>
      <c r="AN301" s="1">
        <v>180</v>
      </c>
      <c r="AO301" s="1">
        <v>1</v>
      </c>
      <c r="AP301" s="1">
        <v>250</v>
      </c>
      <c r="AQ301" s="2" t="s">
        <v>554</v>
      </c>
      <c r="AR301" s="1" t="s">
        <v>1251</v>
      </c>
    </row>
    <row r="302" spans="1:44" x14ac:dyDescent="0.2">
      <c r="A302" s="22" t="s">
        <v>1252</v>
      </c>
      <c r="B302" s="1" t="s">
        <v>1253</v>
      </c>
      <c r="C302" s="1" t="s">
        <v>1254</v>
      </c>
      <c r="D302" s="1" t="str">
        <f t="shared" si="20"/>
        <v>Documents\GitHub\Ozon_upload\barcode\amazing pics\Термонаклейка Единорог с ромашкой сердечки.pdf</v>
      </c>
      <c r="E302" s="23" t="str">
        <f t="shared" si="21"/>
        <v>C:\Users\maxim\Documents\GitHub\Ozon_upload\DTF_images\tatyana\A5\set1\unicorn_er43_tat_vert.tif</v>
      </c>
      <c r="F302" s="1">
        <v>0</v>
      </c>
      <c r="G302" s="1">
        <v>2</v>
      </c>
      <c r="I302" s="1" t="s">
        <v>1255</v>
      </c>
      <c r="K302" s="1" t="s">
        <v>1075</v>
      </c>
      <c r="AM302" s="1">
        <v>17</v>
      </c>
      <c r="AN302" s="1">
        <v>180</v>
      </c>
      <c r="AO302" s="1">
        <v>1</v>
      </c>
      <c r="AP302" s="1">
        <v>250</v>
      </c>
      <c r="AQ302" s="2" t="s">
        <v>554</v>
      </c>
      <c r="AR302" s="1" t="s">
        <v>1256</v>
      </c>
    </row>
    <row r="303" spans="1:44" x14ac:dyDescent="0.2">
      <c r="A303" s="22" t="s">
        <v>1257</v>
      </c>
      <c r="B303" s="1" t="s">
        <v>1258</v>
      </c>
      <c r="C303" s="1" t="s">
        <v>1259</v>
      </c>
      <c r="D303" s="1" t="str">
        <f t="shared" si="20"/>
        <v>Documents\GitHub\Ozon_upload\barcode\amazing pics\Термонаклейка Три Миньона бегут.pdf</v>
      </c>
      <c r="E303" s="23" t="str">
        <f t="shared" si="21"/>
        <v>C:\Users\maxim\Documents\GitHub\Ozon_upload\DTF_images\tatyana\A5\set1\minions_ab12_tat_horiz.tif</v>
      </c>
      <c r="F303" s="1">
        <v>1</v>
      </c>
      <c r="G303" s="1">
        <v>2</v>
      </c>
      <c r="I303" s="1" t="s">
        <v>1260</v>
      </c>
      <c r="K303" s="1" t="s">
        <v>1075</v>
      </c>
      <c r="AM303" s="1">
        <v>17</v>
      </c>
      <c r="AN303" s="1">
        <v>180</v>
      </c>
      <c r="AO303" s="1">
        <v>1</v>
      </c>
      <c r="AP303" s="1">
        <v>250</v>
      </c>
      <c r="AQ303" s="2" t="s">
        <v>554</v>
      </c>
      <c r="AR303" s="1" t="s">
        <v>1261</v>
      </c>
    </row>
    <row r="304" spans="1:44" x14ac:dyDescent="0.2">
      <c r="A304" s="22" t="s">
        <v>1262</v>
      </c>
      <c r="B304" s="1" t="s">
        <v>1263</v>
      </c>
      <c r="C304" s="1" t="s">
        <v>1264</v>
      </c>
      <c r="D304" s="1" t="str">
        <f t="shared" si="20"/>
        <v>Documents\GitHub\Ozon_upload\barcode\amazing pics\Термонаклейка Котенок с шариком сердечко.pdf</v>
      </c>
      <c r="E304" s="23" t="str">
        <f>CONCATENATE("C:\Users\maxim\Documents\GitHub\Ozon_upload\DTF_images\tatyana\A5\set1\",C304,".tif")</f>
        <v>C:\Users\maxim\Documents\GitHub\Ozon_upload\DTF_images\tatyana\A5\set1\cat_ag1_tat_horiz.tif</v>
      </c>
      <c r="F304" s="1">
        <v>1</v>
      </c>
      <c r="G304" s="1">
        <v>2</v>
      </c>
      <c r="I304" s="1" t="s">
        <v>1265</v>
      </c>
      <c r="K304" s="1" t="s">
        <v>1075</v>
      </c>
      <c r="AM304" s="1">
        <v>17</v>
      </c>
      <c r="AN304" s="1">
        <v>180</v>
      </c>
      <c r="AO304" s="1">
        <v>1</v>
      </c>
      <c r="AP304" s="1">
        <v>250</v>
      </c>
      <c r="AQ304" s="2" t="s">
        <v>554</v>
      </c>
      <c r="AR304" s="1" t="s">
        <v>1266</v>
      </c>
    </row>
    <row r="305" spans="1:44" x14ac:dyDescent="0.2">
      <c r="A305" s="22" t="s">
        <v>1267</v>
      </c>
      <c r="B305" s="1" t="s">
        <v>1268</v>
      </c>
      <c r="C305" s="1" t="s">
        <v>1269</v>
      </c>
      <c r="D305" s="1" t="str">
        <f t="shared" si="20"/>
        <v>Documents\GitHub\Ozon_upload\barcode\amazing pics\Термонаклейка Миньон с бананами.pdf</v>
      </c>
      <c r="E305" s="23" t="str">
        <f t="shared" si="21"/>
        <v>C:\Users\maxim\Documents\GitHub\Ozon_upload\DTF_images\tatyana\A5\set1\minions_sd12_tat_horiz.tif</v>
      </c>
      <c r="F305" s="1">
        <v>1</v>
      </c>
      <c r="G305" s="1">
        <v>2</v>
      </c>
      <c r="I305" s="1" t="s">
        <v>1270</v>
      </c>
      <c r="K305" s="1" t="s">
        <v>1075</v>
      </c>
      <c r="AM305" s="1">
        <v>17</v>
      </c>
      <c r="AN305" s="1">
        <v>180</v>
      </c>
      <c r="AO305" s="1">
        <v>1</v>
      </c>
      <c r="AP305" s="1">
        <v>250</v>
      </c>
      <c r="AQ305" s="2" t="s">
        <v>554</v>
      </c>
      <c r="AR305" s="1" t="s">
        <v>1271</v>
      </c>
    </row>
    <row r="306" spans="1:44" x14ac:dyDescent="0.2">
      <c r="A306" s="22" t="s">
        <v>1272</v>
      </c>
      <c r="B306" s="1" t="s">
        <v>1273</v>
      </c>
      <c r="C306" s="1" t="s">
        <v>1274</v>
      </c>
      <c r="D306" s="1" t="str">
        <f t="shared" si="20"/>
        <v>Documents\GitHub\Ozon_upload\barcode\amazing pics\Термонаклейка Зайка балерина.pdf</v>
      </c>
      <c r="E306" s="23" t="str">
        <f t="shared" si="21"/>
        <v>C:\Users\maxim\Documents\GitHub\Ozon_upload\DTF_images\tatyana\A5\set1\rabbit_ds34_tat_horiz.tif</v>
      </c>
      <c r="F306" s="1">
        <v>1</v>
      </c>
      <c r="G306" s="1">
        <v>2</v>
      </c>
      <c r="I306" s="1" t="s">
        <v>1275</v>
      </c>
      <c r="K306" s="1" t="s">
        <v>1075</v>
      </c>
      <c r="AM306" s="1">
        <v>17</v>
      </c>
      <c r="AN306" s="1">
        <v>180</v>
      </c>
      <c r="AO306" s="1">
        <v>1</v>
      </c>
      <c r="AP306" s="1">
        <v>250</v>
      </c>
      <c r="AQ306" s="2" t="s">
        <v>554</v>
      </c>
      <c r="AR306" s="1" t="s">
        <v>1276</v>
      </c>
    </row>
    <row r="307" spans="1:44" x14ac:dyDescent="0.2">
      <c r="A307" s="22" t="s">
        <v>1277</v>
      </c>
      <c r="B307" s="1" t="s">
        <v>1278</v>
      </c>
      <c r="C307" s="1" t="s">
        <v>1279</v>
      </c>
      <c r="D307" s="1" t="str">
        <f t="shared" si="20"/>
        <v>Documents\GitHub\Ozon_upload\barcode\amazing pics\Термонаклейка Динозавр в очках играет на гитаре.pdf</v>
      </c>
      <c r="E307" s="23" t="str">
        <f t="shared" si="21"/>
        <v>C:\Users\maxim\Documents\GitHub\Ozon_upload\DTF_images\tatyana\A5\set1\dino_as22_tat_vert.tif</v>
      </c>
      <c r="F307" s="1">
        <v>0</v>
      </c>
      <c r="G307" s="1">
        <v>2</v>
      </c>
      <c r="I307" s="1" t="s">
        <v>1280</v>
      </c>
      <c r="K307" s="1" t="s">
        <v>1075</v>
      </c>
      <c r="AM307" s="1">
        <v>17</v>
      </c>
      <c r="AN307" s="1">
        <v>180</v>
      </c>
      <c r="AO307" s="1">
        <v>1</v>
      </c>
      <c r="AP307" s="1">
        <v>250</v>
      </c>
      <c r="AQ307" s="2" t="s">
        <v>554</v>
      </c>
      <c r="AR307" s="1" t="s">
        <v>1281</v>
      </c>
    </row>
    <row r="308" spans="1:44" x14ac:dyDescent="0.2">
      <c r="A308" s="22" t="s">
        <v>1282</v>
      </c>
      <c r="B308" s="1" t="s">
        <v>1283</v>
      </c>
      <c r="C308" s="1" t="s">
        <v>1284</v>
      </c>
      <c r="D308" s="1" t="str">
        <f t="shared" si="20"/>
        <v>Documents\GitHub\Ozon_upload\barcode\amazing pics\Термонаклейка Единорог ресницы цветы уши.pdf</v>
      </c>
      <c r="E308" s="23" t="str">
        <f t="shared" si="21"/>
        <v>C:\Users\maxim\Documents\GitHub\Ozon_upload\DTF_images\tatyana\A5\set1\unicorn_ad12_tat_vert.tif</v>
      </c>
      <c r="F308" s="1">
        <v>0</v>
      </c>
      <c r="G308" s="1">
        <v>2</v>
      </c>
      <c r="I308" s="1" t="s">
        <v>1285</v>
      </c>
      <c r="K308" s="1" t="s">
        <v>1075</v>
      </c>
      <c r="AM308" s="1">
        <v>17</v>
      </c>
      <c r="AN308" s="1">
        <v>180</v>
      </c>
      <c r="AO308" s="1">
        <v>1</v>
      </c>
      <c r="AP308" s="1">
        <v>250</v>
      </c>
      <c r="AQ308" s="2" t="s">
        <v>554</v>
      </c>
      <c r="AR308" s="1" t="s">
        <v>1286</v>
      </c>
    </row>
    <row r="309" spans="1:44" x14ac:dyDescent="0.2">
      <c r="A309" s="22" t="s">
        <v>1287</v>
      </c>
      <c r="B309" s="1" t="s">
        <v>1288</v>
      </c>
      <c r="C309" s="1" t="s">
        <v>1289</v>
      </c>
      <c r="D309" s="1" t="str">
        <f t="shared" si="20"/>
        <v>Documents\GitHub\Ozon_upload\barcode\amazing pics\Термонаклейка Лисенок с кружкой.pdf</v>
      </c>
      <c r="E309" s="23" t="str">
        <f t="shared" si="21"/>
        <v>C:\Users\maxim\Documents\GitHub\Ozon_upload\DTF_images\tatyana\A5\set1\fox_as22_tat_vert.tif</v>
      </c>
      <c r="F309" s="1">
        <v>0</v>
      </c>
      <c r="G309" s="1">
        <v>2</v>
      </c>
      <c r="I309" s="1" t="s">
        <v>1290</v>
      </c>
      <c r="K309" s="1" t="s">
        <v>1075</v>
      </c>
      <c r="AM309" s="1">
        <v>17</v>
      </c>
      <c r="AN309" s="1">
        <v>180</v>
      </c>
      <c r="AO309" s="1">
        <v>1</v>
      </c>
      <c r="AP309" s="1">
        <v>250</v>
      </c>
      <c r="AQ309" s="2" t="s">
        <v>554</v>
      </c>
      <c r="AR309" s="1" t="s">
        <v>1291</v>
      </c>
    </row>
    <row r="310" spans="1:44" x14ac:dyDescent="0.2">
      <c r="A310" s="22" t="s">
        <v>1292</v>
      </c>
      <c r="B310" s="1" t="s">
        <v>1293</v>
      </c>
      <c r="C310" s="1" t="s">
        <v>1294</v>
      </c>
      <c r="D310" s="1" t="str">
        <f t="shared" si="20"/>
        <v>Documents\GitHub\Ozon_upload\barcode\amazing pics\Термонаклейка Микки Маус показывает язык.pdf</v>
      </c>
      <c r="E310" s="23" t="str">
        <f t="shared" si="21"/>
        <v>C:\Users\maxim\Documents\GitHub\Ozon_upload\DTF_images\tatyana\A5\set1\mickey_df11_tat_vert.tif</v>
      </c>
      <c r="F310" s="1">
        <v>0</v>
      </c>
      <c r="G310" s="1">
        <v>2</v>
      </c>
      <c r="I310" s="1" t="s">
        <v>1295</v>
      </c>
      <c r="K310" s="1" t="s">
        <v>1075</v>
      </c>
      <c r="AM310" s="1">
        <v>17</v>
      </c>
      <c r="AN310" s="1">
        <v>180</v>
      </c>
      <c r="AO310" s="1">
        <v>1</v>
      </c>
      <c r="AP310" s="1">
        <v>250</v>
      </c>
      <c r="AQ310" s="2" t="s">
        <v>554</v>
      </c>
      <c r="AR310" s="1" t="s">
        <v>1296</v>
      </c>
    </row>
    <row r="311" spans="1:44" ht="15" x14ac:dyDescent="0.25">
      <c r="A311" s="25" t="s">
        <v>1297</v>
      </c>
      <c r="B311" s="1" t="s">
        <v>1298</v>
      </c>
      <c r="C311" s="1" t="s">
        <v>1299</v>
      </c>
      <c r="D311" s="1" t="str">
        <f t="shared" si="20"/>
        <v>Documents\GitHub\Ozon_upload\barcode\amazing pics\Термонаклейка Мишка красная гоночная машина.pdf</v>
      </c>
      <c r="E311" s="21" t="str">
        <f t="shared" ref="E311:E329" si="22">CONCATENATE("C:\Users\maxim\Documents\GitHub\Ozon_upload\DTF_images\tatyana\A5\set2\",C311,".tif")</f>
        <v>C:\Users\maxim\Documents\GitHub\Ozon_upload\DTF_images\tatyana\A5\set2\72_horiz.tif</v>
      </c>
      <c r="F311" s="1">
        <v>1</v>
      </c>
      <c r="G311" s="1">
        <v>2</v>
      </c>
      <c r="I311" s="1" t="s">
        <v>1300</v>
      </c>
      <c r="K311" s="1" t="s">
        <v>1075</v>
      </c>
      <c r="AM311" s="1">
        <v>17</v>
      </c>
      <c r="AN311" s="1">
        <v>180</v>
      </c>
      <c r="AO311" s="1">
        <v>1</v>
      </c>
      <c r="AP311" s="1">
        <v>250</v>
      </c>
      <c r="AQ311" s="14" t="s">
        <v>554</v>
      </c>
      <c r="AR311" s="1" t="s">
        <v>1301</v>
      </c>
    </row>
    <row r="312" spans="1:44" ht="15" x14ac:dyDescent="0.25">
      <c r="A312" s="25" t="s">
        <v>1302</v>
      </c>
      <c r="B312" s="1" t="s">
        <v>1303</v>
      </c>
      <c r="C312" s="1" t="s">
        <v>1304</v>
      </c>
      <c r="D312" s="1" t="str">
        <f t="shared" si="20"/>
        <v>Documents\GitHub\Ozon_upload\barcode\amazing pics\Термонаклейка Мишка стоит с скейтом.pdf</v>
      </c>
      <c r="E312" s="21" t="str">
        <f t="shared" si="22"/>
        <v>C:\Users\maxim\Documents\GitHub\Ozon_upload\DTF_images\tatyana\A5\set2\73_vert.tif</v>
      </c>
      <c r="F312" s="1">
        <v>0</v>
      </c>
      <c r="G312" s="1">
        <v>2</v>
      </c>
      <c r="I312" s="18" t="s">
        <v>1305</v>
      </c>
      <c r="K312" s="1" t="s">
        <v>1075</v>
      </c>
      <c r="AM312" s="1">
        <v>17</v>
      </c>
      <c r="AN312" s="1">
        <v>180</v>
      </c>
      <c r="AO312" s="1">
        <v>1</v>
      </c>
      <c r="AP312" s="1">
        <v>250</v>
      </c>
      <c r="AQ312" s="14" t="s">
        <v>554</v>
      </c>
      <c r="AR312" s="1" t="s">
        <v>1306</v>
      </c>
    </row>
    <row r="313" spans="1:44" ht="15" x14ac:dyDescent="0.25">
      <c r="A313" s="25" t="s">
        <v>1307</v>
      </c>
      <c r="B313" s="1" t="s">
        <v>1308</v>
      </c>
      <c r="C313" s="1" t="s">
        <v>1309</v>
      </c>
      <c r="D313" s="1" t="str">
        <f t="shared" si="20"/>
        <v>Documents\GitHub\Ozon_upload\barcode\amazing pics\Термонаклейка Мишка Серфинг Волна Лето.pdf</v>
      </c>
      <c r="E313" s="21" t="str">
        <f t="shared" si="22"/>
        <v>C:\Users\maxim\Documents\GitHub\Ozon_upload\DTF_images\tatyana\A5\set2\74_vert.tif</v>
      </c>
      <c r="F313" s="1">
        <v>0</v>
      </c>
      <c r="G313" s="1">
        <v>2</v>
      </c>
      <c r="I313" s="18" t="s">
        <v>1305</v>
      </c>
      <c r="K313" s="1" t="s">
        <v>1075</v>
      </c>
      <c r="AM313" s="1">
        <v>17</v>
      </c>
      <c r="AN313" s="1">
        <v>180</v>
      </c>
      <c r="AO313" s="1">
        <v>1</v>
      </c>
      <c r="AP313" s="1">
        <v>250</v>
      </c>
      <c r="AQ313" s="14" t="s">
        <v>554</v>
      </c>
      <c r="AR313" s="1" t="s">
        <v>1310</v>
      </c>
    </row>
    <row r="314" spans="1:44" ht="15" x14ac:dyDescent="0.25">
      <c r="A314" s="25" t="s">
        <v>1311</v>
      </c>
      <c r="B314" s="1" t="s">
        <v>1312</v>
      </c>
      <c r="C314" s="1" t="s">
        <v>1313</v>
      </c>
      <c r="D314" s="1" t="str">
        <f t="shared" si="20"/>
        <v>Documents\GitHub\Ozon_upload\barcode\amazing pics\Термонаклейка Мишка сидит в очках Alone.pdf</v>
      </c>
      <c r="E314" s="21" t="str">
        <f t="shared" si="22"/>
        <v>C:\Users\maxim\Documents\GitHub\Ozon_upload\DTF_images\tatyana\A5\set2\75_vert.tif</v>
      </c>
      <c r="F314" s="1">
        <v>0</v>
      </c>
      <c r="G314" s="1">
        <v>2</v>
      </c>
      <c r="I314" s="18" t="s">
        <v>1314</v>
      </c>
      <c r="K314" s="1" t="s">
        <v>1075</v>
      </c>
      <c r="AM314" s="1">
        <v>17</v>
      </c>
      <c r="AN314" s="1">
        <v>180</v>
      </c>
      <c r="AO314" s="1">
        <v>1</v>
      </c>
      <c r="AP314" s="1">
        <v>250</v>
      </c>
      <c r="AQ314" s="14" t="s">
        <v>554</v>
      </c>
      <c r="AR314" s="1" t="s">
        <v>1315</v>
      </c>
    </row>
    <row r="315" spans="1:44" ht="15" x14ac:dyDescent="0.25">
      <c r="A315" s="25" t="s">
        <v>1316</v>
      </c>
      <c r="B315" s="1" t="s">
        <v>1317</v>
      </c>
      <c r="C315" s="1" t="s">
        <v>1318</v>
      </c>
      <c r="D315" s="1" t="str">
        <f t="shared" si="20"/>
        <v>Documents\GitHub\Ozon_upload\barcode\amazing pics\Термонаклейка Мишка на Самокате.pdf</v>
      </c>
      <c r="E315" s="21" t="str">
        <f t="shared" si="22"/>
        <v>C:\Users\maxim\Documents\GitHub\Ozon_upload\DTF_images\tatyana\A5\set2\77_vert.tif</v>
      </c>
      <c r="F315" s="1">
        <v>0</v>
      </c>
      <c r="G315" s="1">
        <v>2</v>
      </c>
      <c r="I315" s="18" t="s">
        <v>1319</v>
      </c>
      <c r="K315" s="1" t="s">
        <v>1075</v>
      </c>
      <c r="AM315" s="1">
        <v>17</v>
      </c>
      <c r="AN315" s="1">
        <v>180</v>
      </c>
      <c r="AO315" s="1">
        <v>1</v>
      </c>
      <c r="AP315" s="1">
        <v>250</v>
      </c>
      <c r="AQ315" s="14" t="s">
        <v>554</v>
      </c>
      <c r="AR315" s="1" t="s">
        <v>1320</v>
      </c>
    </row>
    <row r="316" spans="1:44" ht="15" x14ac:dyDescent="0.25">
      <c r="A316" s="25" t="s">
        <v>1321</v>
      </c>
      <c r="B316" s="1" t="s">
        <v>1322</v>
      </c>
      <c r="C316" s="1" t="s">
        <v>1323</v>
      </c>
      <c r="D316" s="1" t="str">
        <f t="shared" si="20"/>
        <v>Documents\GitHub\Ozon_upload\barcode\amazing pics\Термонаклейка Мишка Терминатор.pdf</v>
      </c>
      <c r="E316" s="21" t="str">
        <f t="shared" si="22"/>
        <v>C:\Users\maxim\Documents\GitHub\Ozon_upload\DTF_images\tatyana\A5\set2\79_vert.tif</v>
      </c>
      <c r="F316" s="1">
        <v>0</v>
      </c>
      <c r="G316" s="1">
        <v>2</v>
      </c>
      <c r="I316" s="18" t="s">
        <v>1324</v>
      </c>
      <c r="K316" s="1" t="s">
        <v>1075</v>
      </c>
      <c r="AM316" s="1">
        <v>17</v>
      </c>
      <c r="AN316" s="1">
        <v>180</v>
      </c>
      <c r="AO316" s="1">
        <v>1</v>
      </c>
      <c r="AP316" s="1">
        <v>250</v>
      </c>
      <c r="AQ316" s="14" t="s">
        <v>554</v>
      </c>
      <c r="AR316" s="1" t="s">
        <v>1325</v>
      </c>
    </row>
    <row r="317" spans="1:44" ht="15" x14ac:dyDescent="0.25">
      <c r="A317" s="25" t="s">
        <v>1326</v>
      </c>
      <c r="B317" s="1" t="s">
        <v>1327</v>
      </c>
      <c r="C317" s="1" t="s">
        <v>1328</v>
      </c>
      <c r="D317" s="1" t="str">
        <f t="shared" si="20"/>
        <v>Documents\GitHub\Ozon_upload\barcode\amazing pics\Термонаклейка Мишка гидроцикл волна лето.pdf</v>
      </c>
      <c r="E317" s="21" t="str">
        <f t="shared" si="22"/>
        <v>C:\Users\maxim\Documents\GitHub\Ozon_upload\DTF_images\tatyana\A5\set2\80_horiz.tif</v>
      </c>
      <c r="F317" s="1">
        <v>1</v>
      </c>
      <c r="G317" s="1">
        <v>2</v>
      </c>
      <c r="I317" s="18" t="s">
        <v>1329</v>
      </c>
      <c r="K317" s="1" t="s">
        <v>1075</v>
      </c>
      <c r="AM317" s="1">
        <v>17</v>
      </c>
      <c r="AN317" s="1">
        <v>180</v>
      </c>
      <c r="AO317" s="1">
        <v>1</v>
      </c>
      <c r="AP317" s="1">
        <v>250</v>
      </c>
      <c r="AQ317" s="14" t="s">
        <v>554</v>
      </c>
      <c r="AR317" s="1" t="s">
        <v>1330</v>
      </c>
    </row>
    <row r="318" spans="1:44" ht="15" x14ac:dyDescent="0.25">
      <c r="A318" s="25" t="s">
        <v>1331</v>
      </c>
      <c r="B318" s="1" t="s">
        <v>1332</v>
      </c>
      <c r="C318" s="1" t="s">
        <v>1333</v>
      </c>
      <c r="D318" s="1" t="str">
        <f t="shared" si="20"/>
        <v>Documents\GitHub\Ozon_upload\barcode\amazing pics\Термонаклейка Мишка репер читает с микрофоном.pdf</v>
      </c>
      <c r="E318" s="21" t="str">
        <f t="shared" si="22"/>
        <v>C:\Users\maxim\Documents\GitHub\Ozon_upload\DTF_images\tatyana\A5\set2\81_vert.tif</v>
      </c>
      <c r="F318" s="1">
        <v>0</v>
      </c>
      <c r="G318" s="1">
        <v>2</v>
      </c>
      <c r="I318" s="18" t="s">
        <v>1334</v>
      </c>
      <c r="K318" s="1" t="s">
        <v>1075</v>
      </c>
      <c r="AM318" s="1">
        <v>17</v>
      </c>
      <c r="AN318" s="1">
        <v>180</v>
      </c>
      <c r="AO318" s="1">
        <v>1</v>
      </c>
      <c r="AP318" s="1">
        <v>250</v>
      </c>
      <c r="AQ318" s="14" t="s">
        <v>554</v>
      </c>
      <c r="AR318" s="1" t="s">
        <v>1335</v>
      </c>
    </row>
    <row r="319" spans="1:44" ht="15" x14ac:dyDescent="0.25">
      <c r="A319" s="25" t="s">
        <v>1336</v>
      </c>
      <c r="B319" s="1" t="s">
        <v>1337</v>
      </c>
      <c r="C319" s="1" t="s">
        <v>1338</v>
      </c>
      <c r="D319" s="1" t="str">
        <f t="shared" si="20"/>
        <v>Documents\GitHub\Ozon_upload\barcode\amazing pics\Термонаклейка Мишка Серфинг с парусом волна.pdf</v>
      </c>
      <c r="E319" s="21" t="str">
        <f t="shared" si="22"/>
        <v>C:\Users\maxim\Documents\GitHub\Ozon_upload\DTF_images\tatyana\A5\set2\82_vert.tif</v>
      </c>
      <c r="F319" s="1">
        <v>0</v>
      </c>
      <c r="G319" s="1">
        <v>2</v>
      </c>
      <c r="I319" s="18" t="s">
        <v>1339</v>
      </c>
      <c r="K319" s="1" t="s">
        <v>1075</v>
      </c>
      <c r="AM319" s="1">
        <v>17</v>
      </c>
      <c r="AN319" s="1">
        <v>180</v>
      </c>
      <c r="AO319" s="1">
        <v>1</v>
      </c>
      <c r="AP319" s="1">
        <v>250</v>
      </c>
      <c r="AQ319" s="14" t="s">
        <v>554</v>
      </c>
      <c r="AR319" s="1" t="s">
        <v>1340</v>
      </c>
    </row>
    <row r="320" spans="1:44" ht="15" x14ac:dyDescent="0.25">
      <c r="A320" s="25" t="s">
        <v>1341</v>
      </c>
      <c r="B320" s="1" t="s">
        <v>1342</v>
      </c>
      <c r="C320" s="1" t="s">
        <v>1343</v>
      </c>
      <c r="D320" s="1" t="str">
        <f t="shared" si="20"/>
        <v>Documents\GitHub\Ozon_upload\barcode\amazing pics\Термонаклейка Мишка маска плавание лето селфи.pdf</v>
      </c>
      <c r="E320" s="21" t="str">
        <f t="shared" si="22"/>
        <v>C:\Users\maxim\Documents\GitHub\Ozon_upload\DTF_images\tatyana\A5\set2\84_vert.tif</v>
      </c>
      <c r="F320" s="1">
        <v>0</v>
      </c>
      <c r="G320" s="1">
        <v>2</v>
      </c>
      <c r="I320" s="18" t="s">
        <v>1344</v>
      </c>
      <c r="K320" s="1" t="s">
        <v>1075</v>
      </c>
      <c r="AM320" s="1">
        <v>17</v>
      </c>
      <c r="AN320" s="1">
        <v>180</v>
      </c>
      <c r="AO320" s="1">
        <v>1</v>
      </c>
      <c r="AP320" s="1">
        <v>250</v>
      </c>
      <c r="AQ320" s="14" t="s">
        <v>554</v>
      </c>
      <c r="AR320" s="1" t="s">
        <v>1345</v>
      </c>
    </row>
    <row r="321" spans="1:44" ht="15" x14ac:dyDescent="0.25">
      <c r="A321" s="25" t="s">
        <v>1346</v>
      </c>
      <c r="B321" s="1" t="s">
        <v>1347</v>
      </c>
      <c r="C321" s="1" t="s">
        <v>1348</v>
      </c>
      <c r="D321" s="1" t="str">
        <f t="shared" si="20"/>
        <v>Documents\GitHub\Ozon_upload\barcode\amazing pics\Термонаклейка Мишка на лыжах.pdf</v>
      </c>
      <c r="E321" s="21" t="str">
        <f t="shared" si="22"/>
        <v>C:\Users\maxim\Documents\GitHub\Ozon_upload\DTF_images\tatyana\A5\set2\87_vert.tif</v>
      </c>
      <c r="F321" s="1">
        <v>0</v>
      </c>
      <c r="G321" s="1">
        <v>2</v>
      </c>
      <c r="I321" s="18" t="s">
        <v>1349</v>
      </c>
      <c r="K321" s="1" t="s">
        <v>1075</v>
      </c>
      <c r="AM321" s="1">
        <v>17</v>
      </c>
      <c r="AN321" s="1">
        <v>180</v>
      </c>
      <c r="AO321" s="1">
        <v>1</v>
      </c>
      <c r="AP321" s="1">
        <v>250</v>
      </c>
      <c r="AQ321" s="14" t="s">
        <v>554</v>
      </c>
      <c r="AR321" s="1" t="s">
        <v>1350</v>
      </c>
    </row>
    <row r="322" spans="1:44" ht="15" x14ac:dyDescent="0.25">
      <c r="A322" s="25" t="s">
        <v>1351</v>
      </c>
      <c r="B322" s="1" t="s">
        <v>1352</v>
      </c>
      <c r="C322" s="1" t="s">
        <v>1353</v>
      </c>
      <c r="D322" s="1" t="str">
        <f t="shared" si="20"/>
        <v>Documents\GitHub\Ozon_upload\barcode\amazing pics\Термонаклейка Мишка байкер мотоцикл.pdf</v>
      </c>
      <c r="E322" s="21" t="str">
        <f t="shared" si="22"/>
        <v>C:\Users\maxim\Documents\GitHub\Ozon_upload\DTF_images\tatyana\A5\set2\88_horiz.tif</v>
      </c>
      <c r="F322" s="1">
        <v>1</v>
      </c>
      <c r="G322" s="1">
        <v>2</v>
      </c>
      <c r="I322" s="1" t="s">
        <v>1354</v>
      </c>
      <c r="K322" s="1" t="s">
        <v>1075</v>
      </c>
      <c r="AM322" s="1">
        <v>17</v>
      </c>
      <c r="AN322" s="1">
        <v>180</v>
      </c>
      <c r="AO322" s="1">
        <v>1</v>
      </c>
      <c r="AP322" s="1">
        <v>250</v>
      </c>
      <c r="AQ322" s="14" t="s">
        <v>554</v>
      </c>
      <c r="AR322" s="1" t="s">
        <v>1355</v>
      </c>
    </row>
    <row r="323" spans="1:44" ht="15" x14ac:dyDescent="0.25">
      <c r="A323" s="25" t="s">
        <v>1356</v>
      </c>
      <c r="B323" s="1" t="s">
        <v>1357</v>
      </c>
      <c r="C323" s="1" t="s">
        <v>1358</v>
      </c>
      <c r="D323" s="1" t="str">
        <f t="shared" si="20"/>
        <v>Documents\GitHub\Ozon_upload\barcode\amazing pics\Термонаклейка Мишка велосипед.pdf</v>
      </c>
      <c r="E323" s="21" t="str">
        <f t="shared" si="22"/>
        <v>C:\Users\maxim\Documents\GitHub\Ozon_upload\DTF_images\tatyana\A5\set2\89_vert.tif</v>
      </c>
      <c r="F323" s="1">
        <v>0</v>
      </c>
      <c r="G323" s="1">
        <v>2</v>
      </c>
      <c r="I323" s="18" t="s">
        <v>1359</v>
      </c>
      <c r="K323" s="1" t="s">
        <v>1075</v>
      </c>
      <c r="AM323" s="1">
        <v>17</v>
      </c>
      <c r="AN323" s="1">
        <v>180</v>
      </c>
      <c r="AO323" s="1">
        <v>1</v>
      </c>
      <c r="AP323" s="1">
        <v>250</v>
      </c>
      <c r="AQ323" s="14" t="s">
        <v>554</v>
      </c>
      <c r="AR323" s="1" t="s">
        <v>1360</v>
      </c>
    </row>
    <row r="324" spans="1:44" ht="15" x14ac:dyDescent="0.25">
      <c r="A324" s="25" t="s">
        <v>1361</v>
      </c>
      <c r="B324" s="1" t="s">
        <v>1362</v>
      </c>
      <c r="C324" s="1" t="s">
        <v>1363</v>
      </c>
      <c r="D324" s="1" t="str">
        <f t="shared" si="20"/>
        <v>Documents\GitHub\Ozon_upload\barcode\amazing pics\Термонаклейка Мишка Каратэ нога вверх.pdf</v>
      </c>
      <c r="E324" s="21" t="str">
        <f t="shared" si="22"/>
        <v>C:\Users\maxim\Documents\GitHub\Ozon_upload\DTF_images\tatyana\A5\set2\90_vert.tif</v>
      </c>
      <c r="F324" s="1">
        <v>0</v>
      </c>
      <c r="G324" s="1">
        <v>2</v>
      </c>
      <c r="I324" s="1" t="s">
        <v>1364</v>
      </c>
      <c r="K324" s="1" t="s">
        <v>1075</v>
      </c>
      <c r="AM324" s="1">
        <v>17</v>
      </c>
      <c r="AN324" s="1">
        <v>180</v>
      </c>
      <c r="AO324" s="1">
        <v>1</v>
      </c>
      <c r="AP324" s="1">
        <v>250</v>
      </c>
      <c r="AQ324" s="14" t="s">
        <v>554</v>
      </c>
      <c r="AR324" s="1" t="s">
        <v>1365</v>
      </c>
    </row>
    <row r="325" spans="1:44" ht="15" x14ac:dyDescent="0.25">
      <c r="A325" s="25" t="s">
        <v>1366</v>
      </c>
      <c r="B325" s="1" t="s">
        <v>1367</v>
      </c>
      <c r="C325" s="1" t="s">
        <v>1368</v>
      </c>
      <c r="D325" s="1" t="str">
        <f t="shared" si="20"/>
        <v>Documents\GitHub\Ozon_upload\barcode\amazing pics\Термонаклейка Мишка скейт бежит.pdf</v>
      </c>
      <c r="E325" s="21" t="str">
        <f t="shared" si="22"/>
        <v>C:\Users\maxim\Documents\GitHub\Ozon_upload\DTF_images\tatyana\A5\set2\92_vert.tif</v>
      </c>
      <c r="F325" s="1">
        <v>0</v>
      </c>
      <c r="G325" s="1">
        <v>2</v>
      </c>
      <c r="I325" s="18" t="s">
        <v>1369</v>
      </c>
      <c r="K325" s="1" t="s">
        <v>1075</v>
      </c>
      <c r="AM325" s="1">
        <v>17</v>
      </c>
      <c r="AN325" s="1">
        <v>180</v>
      </c>
      <c r="AO325" s="1">
        <v>1</v>
      </c>
      <c r="AP325" s="1">
        <v>250</v>
      </c>
      <c r="AQ325" s="14" t="s">
        <v>554</v>
      </c>
      <c r="AR325" s="1" t="s">
        <v>1370</v>
      </c>
    </row>
    <row r="326" spans="1:44" ht="15" x14ac:dyDescent="0.25">
      <c r="A326" s="25" t="s">
        <v>1371</v>
      </c>
      <c r="B326" s="1" t="s">
        <v>1372</v>
      </c>
      <c r="C326" s="1" t="s">
        <v>1373</v>
      </c>
      <c r="D326" s="1" t="str">
        <f t="shared" si="20"/>
        <v>Documents\GitHub\Ozon_upload\barcode\amazing pics\Термонаклейка Мишка скейт Lets move.pdf</v>
      </c>
      <c r="E326" s="21" t="str">
        <f t="shared" si="22"/>
        <v>C:\Users\maxim\Documents\GitHub\Ozon_upload\DTF_images\tatyana\A5\set2\93_vert.tif</v>
      </c>
      <c r="F326" s="1">
        <v>0</v>
      </c>
      <c r="G326" s="1">
        <v>2</v>
      </c>
      <c r="I326" s="18" t="s">
        <v>1374</v>
      </c>
      <c r="K326" s="1" t="s">
        <v>1075</v>
      </c>
      <c r="AM326" s="1">
        <v>17</v>
      </c>
      <c r="AN326" s="1">
        <v>180</v>
      </c>
      <c r="AO326" s="1">
        <v>1</v>
      </c>
      <c r="AP326" s="1">
        <v>250</v>
      </c>
      <c r="AQ326" s="14" t="s">
        <v>554</v>
      </c>
      <c r="AR326" s="1" t="s">
        <v>1375</v>
      </c>
    </row>
    <row r="327" spans="1:44" ht="15" x14ac:dyDescent="0.25">
      <c r="A327" s="25" t="s">
        <v>1376</v>
      </c>
      <c r="B327" s="1" t="s">
        <v>1377</v>
      </c>
      <c r="C327" s="1" t="s">
        <v>1378</v>
      </c>
      <c r="D327" s="1" t="str">
        <f t="shared" si="20"/>
        <v>Documents\GitHub\Ozon_upload\barcode\amazing pics\Термонаклейка Минни Маус и бабочка.pdf</v>
      </c>
      <c r="E327" s="21" t="str">
        <f t="shared" si="22"/>
        <v>C:\Users\maxim\Documents\GitHub\Ozon_upload\DTF_images\tatyana\A5\set2\120_vert.tif</v>
      </c>
      <c r="F327" s="1">
        <v>0</v>
      </c>
      <c r="G327" s="1">
        <v>2</v>
      </c>
      <c r="I327" s="18" t="s">
        <v>1379</v>
      </c>
      <c r="K327" s="1" t="s">
        <v>1075</v>
      </c>
      <c r="AM327" s="1">
        <v>17</v>
      </c>
      <c r="AN327" s="1">
        <v>180</v>
      </c>
      <c r="AO327" s="1">
        <v>1</v>
      </c>
      <c r="AP327" s="1">
        <v>250</v>
      </c>
      <c r="AQ327" s="14" t="s">
        <v>554</v>
      </c>
      <c r="AR327" s="1" t="s">
        <v>1380</v>
      </c>
    </row>
    <row r="328" spans="1:44" ht="15" x14ac:dyDescent="0.25">
      <c r="A328" s="25" t="s">
        <v>1381</v>
      </c>
      <c r="B328" s="1" t="s">
        <v>1382</v>
      </c>
      <c r="C328" s="1" t="s">
        <v>1383</v>
      </c>
      <c r="D328" s="1" t="str">
        <f t="shared" si="20"/>
        <v>Documents\GitHub\Ozon_upload\barcode\amazing pics\Термонаклейка Минни Маус поправляет бант.pdf</v>
      </c>
      <c r="E328" s="21" t="str">
        <f t="shared" si="22"/>
        <v>C:\Users\maxim\Documents\GitHub\Ozon_upload\DTF_images\tatyana\A5\set2\121_vert.tif</v>
      </c>
      <c r="F328" s="1">
        <v>0</v>
      </c>
      <c r="G328" s="1">
        <v>2</v>
      </c>
      <c r="I328" s="1" t="s">
        <v>1384</v>
      </c>
      <c r="K328" s="1" t="s">
        <v>1075</v>
      </c>
      <c r="AM328" s="1">
        <v>17</v>
      </c>
      <c r="AN328" s="1">
        <v>180</v>
      </c>
      <c r="AO328" s="1">
        <v>1</v>
      </c>
      <c r="AP328" s="1">
        <v>250</v>
      </c>
      <c r="AQ328" s="14" t="s">
        <v>554</v>
      </c>
      <c r="AR328" s="1" t="s">
        <v>1385</v>
      </c>
    </row>
    <row r="329" spans="1:44" ht="15" x14ac:dyDescent="0.25">
      <c r="A329" s="25" t="s">
        <v>1386</v>
      </c>
      <c r="B329" s="1" t="s">
        <v>1387</v>
      </c>
      <c r="C329" s="1" t="s">
        <v>1388</v>
      </c>
      <c r="D329" s="1" t="str">
        <f t="shared" si="20"/>
        <v>Documents\GitHub\Ozon_upload\barcode\amazing pics\Термонаклейка Дисней утка Дейзи Сердечко.pdf</v>
      </c>
      <c r="E329" s="21" t="str">
        <f t="shared" si="22"/>
        <v>C:\Users\maxim\Documents\GitHub\Ozon_upload\DTF_images\tatyana\A5\set2\122_horiz.tif</v>
      </c>
      <c r="F329" s="1">
        <v>1</v>
      </c>
      <c r="G329" s="1">
        <v>2</v>
      </c>
      <c r="I329" s="18" t="s">
        <v>1389</v>
      </c>
      <c r="K329" s="1" t="s">
        <v>1075</v>
      </c>
      <c r="AM329" s="1">
        <v>17</v>
      </c>
      <c r="AN329" s="1">
        <v>180</v>
      </c>
      <c r="AO329" s="1">
        <v>1</v>
      </c>
      <c r="AP329" s="1">
        <v>250</v>
      </c>
      <c r="AQ329" s="2" t="s">
        <v>1390</v>
      </c>
      <c r="AR329" s="1" t="s">
        <v>1391</v>
      </c>
    </row>
    <row r="330" spans="1:44" x14ac:dyDescent="0.2">
      <c r="A330" s="1" t="s">
        <v>1392</v>
      </c>
      <c r="B330" s="1" t="s">
        <v>1393</v>
      </c>
      <c r="C330" s="1" t="s">
        <v>1394</v>
      </c>
      <c r="D330" s="1" t="str">
        <f t="shared" ref="D330:D393" si="23">CONCATENATE("Documents\GitHub\Ozon_upload\barcode\amazing pics\", A330, ".pdf")</f>
        <v>Documents\GitHub\Ozon_upload\barcode\amazing pics\Термонаклейка Животные с радугой.pdf</v>
      </c>
      <c r="E330" s="10" t="str">
        <f>CONCATENATE("C:\Users\",username!A38,"\Documents\GitHub\Ozon_upload\DTF_images\tatyana\A5\all\",C330,".tif")</f>
        <v>C:\Users\maxim\Documents\GitHub\Ozon_upload\DTF_images\tatyana\A5\all\animals_ass2_vert.tif</v>
      </c>
      <c r="F330" s="1">
        <v>0</v>
      </c>
      <c r="G330" s="1">
        <v>2</v>
      </c>
      <c r="I330" s="1" t="str">
        <f>"д"&amp;номер!A1</f>
        <v>д1</v>
      </c>
      <c r="K330" s="10" t="s">
        <v>1075</v>
      </c>
      <c r="AM330" s="1">
        <v>17</v>
      </c>
      <c r="AN330" s="1">
        <v>180</v>
      </c>
      <c r="AO330" s="1">
        <v>1</v>
      </c>
      <c r="AP330" s="1">
        <v>250</v>
      </c>
      <c r="AQ330" s="14" t="s">
        <v>554</v>
      </c>
      <c r="AR330" s="1" t="s">
        <v>1395</v>
      </c>
    </row>
    <row r="331" spans="1:44" x14ac:dyDescent="0.2">
      <c r="A331" s="1" t="s">
        <v>1396</v>
      </c>
      <c r="B331" s="1" t="s">
        <v>1397</v>
      </c>
      <c r="C331" s="1" t="s">
        <v>1398</v>
      </c>
      <c r="D331" s="1" t="str">
        <f t="shared" si="23"/>
        <v>Documents\GitHub\Ozon_upload\barcode\amazing pics\Термонаклейка Балерина в сиреневом.pdf</v>
      </c>
      <c r="E331" s="10" t="str">
        <f>CONCATENATE("C:\Users\",username!A39,"\Documents\GitHub\Ozon_upload\DTF_images\tatyana\A5\all\",C331,".tif")</f>
        <v>C:\Users\maxim\Documents\GitHub\Ozon_upload\DTF_images\tatyana\A5\all\balerina_asdasfw1_vert.tif</v>
      </c>
      <c r="F331" s="1">
        <v>0</v>
      </c>
      <c r="G331" s="1">
        <v>2</v>
      </c>
      <c r="I331" s="1" t="str">
        <f>"д"&amp;номер!A2</f>
        <v>д2</v>
      </c>
      <c r="K331" s="10" t="s">
        <v>1075</v>
      </c>
      <c r="AM331" s="1">
        <v>17</v>
      </c>
      <c r="AN331" s="1">
        <v>180</v>
      </c>
      <c r="AO331" s="1">
        <v>1</v>
      </c>
      <c r="AP331" s="1">
        <v>250</v>
      </c>
      <c r="AQ331" s="14" t="s">
        <v>554</v>
      </c>
      <c r="AR331" s="1" t="s">
        <v>1399</v>
      </c>
    </row>
    <row r="332" spans="1:44" x14ac:dyDescent="0.2">
      <c r="A332" s="1" t="s">
        <v>1400</v>
      </c>
      <c r="B332" s="1" t="s">
        <v>1401</v>
      </c>
      <c r="C332" s="1" t="s">
        <v>1402</v>
      </c>
      <c r="D332" s="1" t="str">
        <f t="shared" si="23"/>
        <v>Documents\GitHub\Ozon_upload\barcode\amazing pics\Термонаклейка Чёрный котенок в цветах.pdf</v>
      </c>
      <c r="E332" s="10" t="str">
        <f>CONCATENATE("C:\Users\",username!A40,"\Documents\GitHub\Ozon_upload\DTF_images\tatyana\A5\all\",C332,".tif")</f>
        <v>C:\Users\maxim\Documents\GitHub\Ozon_upload\DTF_images\tatyana\A5\all\cat_dasdwqe2_vert.tif</v>
      </c>
      <c r="F332" s="1">
        <v>0</v>
      </c>
      <c r="G332" s="1">
        <v>2</v>
      </c>
      <c r="I332" s="1" t="str">
        <f>"д"&amp;номер!A3</f>
        <v>д3</v>
      </c>
      <c r="K332" s="10" t="s">
        <v>1075</v>
      </c>
      <c r="AM332" s="1">
        <v>17</v>
      </c>
      <c r="AN332" s="1">
        <v>180</v>
      </c>
      <c r="AO332" s="1">
        <v>1</v>
      </c>
      <c r="AP332" s="1">
        <v>250</v>
      </c>
      <c r="AQ332" s="14" t="s">
        <v>554</v>
      </c>
      <c r="AR332" s="1" t="s">
        <v>1403</v>
      </c>
    </row>
    <row r="333" spans="1:44" x14ac:dyDescent="0.2">
      <c r="A333" s="1" t="s">
        <v>1404</v>
      </c>
      <c r="B333" s="1" t="s">
        <v>1405</v>
      </c>
      <c r="C333" s="1" t="s">
        <v>1406</v>
      </c>
      <c r="D333" s="1" t="str">
        <f t="shared" si="23"/>
        <v>Documents\GitHub\Ozon_upload\barcode\amazing pics\Термонаклейка Весёлый енот выглядывает.pdf</v>
      </c>
      <c r="E333" s="10" t="str">
        <f>CONCATENATE("C:\Users\",username!A41,"\Documents\GitHub\Ozon_upload\DTF_images\tatyana\A5\all\",C333,".tif")</f>
        <v>C:\Users\maxim\Documents\GitHub\Ozon_upload\DTF_images\tatyana\A5\all\enot_asdw1_vert.tif</v>
      </c>
      <c r="F333" s="1">
        <v>0</v>
      </c>
      <c r="G333" s="1">
        <v>2</v>
      </c>
      <c r="I333" s="1" t="str">
        <f>"д"&amp;номер!A4</f>
        <v>д4</v>
      </c>
      <c r="K333" s="10" t="s">
        <v>1075</v>
      </c>
      <c r="AM333" s="1">
        <v>17</v>
      </c>
      <c r="AN333" s="1">
        <v>180</v>
      </c>
      <c r="AO333" s="1">
        <v>1</v>
      </c>
      <c r="AP333" s="1">
        <v>250</v>
      </c>
      <c r="AQ333" s="14" t="s">
        <v>554</v>
      </c>
      <c r="AR333" s="1" t="s">
        <v>1407</v>
      </c>
    </row>
    <row r="334" spans="1:44" x14ac:dyDescent="0.2">
      <c r="A334" s="1" t="s">
        <v>1408</v>
      </c>
      <c r="B334" s="1" t="s">
        <v>1409</v>
      </c>
      <c r="C334" s="1" t="s">
        <v>1410</v>
      </c>
      <c r="D334" s="1" t="str">
        <f t="shared" si="23"/>
        <v>Documents\GitHub\Ozon_upload\barcode\amazing pics\Термонаклейка Фея в ночном лесу.pdf</v>
      </c>
      <c r="E334" s="10" t="str">
        <f>CONCATENATE("C:\Users\",username!A42,"\Documents\GitHub\Ozon_upload\DTF_images\tatyana\A5\all\",C334,".tif")</f>
        <v>C:\Users\maxim\Documents\GitHub\Ozon_upload\DTF_images\tatyana\A5\all\fairy_abca_f_horiz.tif</v>
      </c>
      <c r="F334" s="1">
        <v>1</v>
      </c>
      <c r="G334" s="1">
        <v>2</v>
      </c>
      <c r="I334" s="1" t="str">
        <f>"д"&amp;номер!A5</f>
        <v>д5</v>
      </c>
      <c r="K334" s="10" t="s">
        <v>1075</v>
      </c>
      <c r="AM334" s="1">
        <v>17</v>
      </c>
      <c r="AN334" s="1">
        <v>180</v>
      </c>
      <c r="AO334" s="1">
        <v>1</v>
      </c>
      <c r="AP334" s="1">
        <v>250</v>
      </c>
      <c r="AQ334" s="14" t="s">
        <v>554</v>
      </c>
      <c r="AR334" s="1" t="s">
        <v>1411</v>
      </c>
    </row>
    <row r="335" spans="1:44" x14ac:dyDescent="0.2">
      <c r="A335" s="1" t="s">
        <v>1412</v>
      </c>
      <c r="B335" s="1" t="s">
        <v>1413</v>
      </c>
      <c r="C335" s="1" t="s">
        <v>1414</v>
      </c>
      <c r="D335" s="1" t="str">
        <f t="shared" si="23"/>
        <v>Documents\GitHub\Ozon_upload\barcode\amazing pics\Термонаклейка Девочка с бабочкой.pdf</v>
      </c>
      <c r="E335" s="10" t="str">
        <f>CONCATENATE("C:\Users\",username!A43,"\Documents\GitHub\Ozon_upload\DTF_images\tatyana\A5\all\",C335,".tif")</f>
        <v>C:\Users\maxim\Documents\GitHub\Ozon_upload\DTF_images\tatyana\A5\all\girl_butterfly_asd_vert.tif</v>
      </c>
      <c r="F335" s="1">
        <v>0</v>
      </c>
      <c r="G335" s="1">
        <v>2</v>
      </c>
      <c r="I335" s="1" t="str">
        <f>"д"&amp;номер!A6</f>
        <v>д6</v>
      </c>
      <c r="K335" s="10" t="s">
        <v>1075</v>
      </c>
      <c r="AM335" s="1">
        <v>17</v>
      </c>
      <c r="AN335" s="1">
        <v>180</v>
      </c>
      <c r="AO335" s="1">
        <v>1</v>
      </c>
      <c r="AP335" s="1">
        <v>250</v>
      </c>
      <c r="AQ335" s="14" t="s">
        <v>554</v>
      </c>
      <c r="AR335" s="1" t="s">
        <v>1415</v>
      </c>
    </row>
    <row r="336" spans="1:44" x14ac:dyDescent="0.2">
      <c r="A336" s="1" t="s">
        <v>1416</v>
      </c>
      <c r="B336" s="1" t="s">
        <v>1417</v>
      </c>
      <c r="C336" s="1" t="s">
        <v>1418</v>
      </c>
      <c r="D336" s="1" t="str">
        <f t="shared" si="23"/>
        <v>Documents\GitHub\Ozon_upload\barcode\amazing pics\Термонаклейка Девочка в розовом платье.pdf</v>
      </c>
      <c r="E336" s="10" t="str">
        <f>CONCATENATE("C:\Users\",username!A44,"\Documents\GitHub\Ozon_upload\DTF_images\tatyana\A5\all\",C336,".tif")</f>
        <v>C:\Users\maxim\Documents\GitHub\Ozon_upload\DTF_images\tatyana\A5\all\girl_dsda_vert.tif</v>
      </c>
      <c r="F336" s="1">
        <v>0</v>
      </c>
      <c r="G336" s="1">
        <v>2</v>
      </c>
      <c r="I336" s="1" t="str">
        <f>"д"&amp;номер!A7</f>
        <v>д7</v>
      </c>
      <c r="K336" s="10" t="s">
        <v>1075</v>
      </c>
      <c r="AM336" s="1">
        <v>17</v>
      </c>
      <c r="AN336" s="1">
        <v>180</v>
      </c>
      <c r="AO336" s="1">
        <v>1</v>
      </c>
      <c r="AP336" s="1">
        <v>250</v>
      </c>
      <c r="AQ336" s="14" t="s">
        <v>554</v>
      </c>
      <c r="AR336" s="1" t="s">
        <v>1419</v>
      </c>
    </row>
    <row r="337" spans="1:44" x14ac:dyDescent="0.2">
      <c r="A337" s="1" t="s">
        <v>1420</v>
      </c>
      <c r="B337" s="1" t="s">
        <v>1421</v>
      </c>
      <c r="C337" s="1" t="s">
        <v>1422</v>
      </c>
      <c r="D337" s="1" t="str">
        <f t="shared" si="23"/>
        <v>Documents\GitHub\Ozon_upload\barcode\amazing pics\Термонаклейка Девочка с маком в руках.pdf</v>
      </c>
      <c r="E337" s="10" t="str">
        <f>CONCATENATE("C:\Users\",username!A45,"\Documents\GitHub\Ozon_upload\DTF_images\tatyana\A5\all\",C337,".tif")</f>
        <v>C:\Users\maxim\Documents\GitHub\Ozon_upload\DTF_images\tatyana\A5\all\girl_kids_ffd45_vert.tif</v>
      </c>
      <c r="F337" s="1">
        <v>0</v>
      </c>
      <c r="G337" s="1">
        <v>2</v>
      </c>
      <c r="I337" s="1" t="str">
        <f>"д"&amp;номер!A8</f>
        <v>д8</v>
      </c>
      <c r="K337" s="10" t="s">
        <v>1075</v>
      </c>
      <c r="AM337" s="1">
        <v>17</v>
      </c>
      <c r="AN337" s="1">
        <v>180</v>
      </c>
      <c r="AO337" s="1">
        <v>1</v>
      </c>
      <c r="AP337" s="1">
        <v>250</v>
      </c>
      <c r="AQ337" s="14" t="s">
        <v>554</v>
      </c>
      <c r="AR337" s="1" t="s">
        <v>1423</v>
      </c>
    </row>
    <row r="338" spans="1:44" x14ac:dyDescent="0.2">
      <c r="A338" s="1" t="s">
        <v>1424</v>
      </c>
      <c r="B338" s="1" t="s">
        <v>1425</v>
      </c>
      <c r="C338" s="1" t="s">
        <v>1426</v>
      </c>
      <c r="D338" s="1" t="str">
        <f t="shared" si="23"/>
        <v>Documents\GitHub\Ozon_upload\barcode\amazing pics\Термонаклейка Девочка Ангел с хвостами.pdf</v>
      </c>
      <c r="E338" s="10" t="str">
        <f>CONCATENATE("C:\Users\",username!A46,"\Documents\GitHub\Ozon_upload\DTF_images\tatyana\A5\all\",C338,".tif")</f>
        <v>C:\Users\maxim\Documents\GitHub\Ozon_upload\DTF_images\tatyana\A5\all\girl_pink_blond_qwds_vert.tif</v>
      </c>
      <c r="F338" s="1">
        <v>0</v>
      </c>
      <c r="G338" s="1">
        <v>2</v>
      </c>
      <c r="I338" s="1" t="str">
        <f>"д"&amp;номер!A9</f>
        <v>д9</v>
      </c>
      <c r="K338" s="10" t="s">
        <v>1075</v>
      </c>
      <c r="AM338" s="1">
        <v>17</v>
      </c>
      <c r="AN338" s="1">
        <v>180</v>
      </c>
      <c r="AO338" s="1">
        <v>1</v>
      </c>
      <c r="AP338" s="1">
        <v>250</v>
      </c>
      <c r="AQ338" s="14" t="s">
        <v>554</v>
      </c>
      <c r="AR338" s="1" t="s">
        <v>1427</v>
      </c>
    </row>
    <row r="339" spans="1:44" x14ac:dyDescent="0.2">
      <c r="A339" s="1" t="s">
        <v>1428</v>
      </c>
      <c r="B339" s="1" t="s">
        <v>1429</v>
      </c>
      <c r="C339" s="1" t="s">
        <v>1430</v>
      </c>
      <c r="D339" s="1" t="str">
        <f t="shared" si="23"/>
        <v>Documents\GitHub\Ozon_upload\barcode\amazing pics\Термонаклейка Разноцветные сердечки.pdf</v>
      </c>
      <c r="E339" s="10" t="str">
        <f>CONCATENATE("C:\Users\",username!A47,"\Documents\GitHub\Ozon_upload\DTF_images\tatyana\A5\all\",C339,".tif")</f>
        <v>C:\Users\maxim\Documents\GitHub\Ozon_upload\DTF_images\tatyana\A5\all\hearts_sdq_vert.tif</v>
      </c>
      <c r="F339" s="1">
        <v>0</v>
      </c>
      <c r="G339" s="1">
        <v>2</v>
      </c>
      <c r="I339" s="1" t="str">
        <f>"д"&amp;номер!A10</f>
        <v>д10</v>
      </c>
      <c r="K339" s="10" t="s">
        <v>1075</v>
      </c>
      <c r="AM339" s="1">
        <v>17</v>
      </c>
      <c r="AN339" s="1">
        <v>180</v>
      </c>
      <c r="AO339" s="1">
        <v>1</v>
      </c>
      <c r="AP339" s="1">
        <v>250</v>
      </c>
      <c r="AQ339" s="14" t="s">
        <v>554</v>
      </c>
      <c r="AR339" s="1" t="s">
        <v>1431</v>
      </c>
    </row>
    <row r="340" spans="1:44" x14ac:dyDescent="0.2">
      <c r="A340" s="1" t="s">
        <v>1432</v>
      </c>
      <c r="B340" s="1" t="s">
        <v>1433</v>
      </c>
      <c r="C340" s="1" t="s">
        <v>1434</v>
      </c>
      <c r="D340" s="1" t="str">
        <f t="shared" si="23"/>
        <v>Documents\GitHub\Ozon_upload\barcode\amazing pics\Термонаклейка львенок с милой улыбкой.pdf</v>
      </c>
      <c r="E340" s="10" t="str">
        <f>CONCATENATE("C:\Users\",username!A48,"\Documents\GitHub\Ozon_upload\DTF_images\tatyana\A5\all\",C340,".tif")</f>
        <v>C:\Users\maxim\Documents\GitHub\Ozon_upload\DTF_images\tatyana\A5\all\lion_keds_ffff_vert.tif</v>
      </c>
      <c r="F340" s="1">
        <v>0</v>
      </c>
      <c r="G340" s="1">
        <v>2</v>
      </c>
      <c r="I340" s="1" t="str">
        <f>"д"&amp;номер!A11</f>
        <v>д11</v>
      </c>
      <c r="K340" s="10" t="s">
        <v>1075</v>
      </c>
      <c r="AM340" s="1">
        <v>17</v>
      </c>
      <c r="AN340" s="1">
        <v>180</v>
      </c>
      <c r="AO340" s="1">
        <v>1</v>
      </c>
      <c r="AP340" s="1">
        <v>250</v>
      </c>
      <c r="AQ340" s="14" t="s">
        <v>554</v>
      </c>
      <c r="AR340" s="1" t="s">
        <v>1435</v>
      </c>
    </row>
    <row r="341" spans="1:44" x14ac:dyDescent="0.2">
      <c r="A341" s="1" t="s">
        <v>1436</v>
      </c>
      <c r="B341" s="1" t="s">
        <v>1437</v>
      </c>
      <c r="C341" s="1" t="s">
        <v>1438</v>
      </c>
      <c r="D341" s="1" t="str">
        <f t="shared" si="23"/>
        <v>Documents\GitHub\Ozon_upload\barcode\amazing pics\Термонаклейка львенок выглядывает игриво.pdf</v>
      </c>
      <c r="E341" s="10" t="str">
        <f>CONCATENATE("C:\Users\",username!A49,"\Documents\GitHub\Ozon_upload\DTF_images\tatyana\A5\all\",C341,".tif")</f>
        <v>C:\Users\maxim\Documents\GitHub\Ozon_upload\DTF_images\tatyana\A5\all\lion_kids_df4_vert.tif</v>
      </c>
      <c r="F341" s="1">
        <v>0</v>
      </c>
      <c r="G341" s="1">
        <v>2</v>
      </c>
      <c r="I341" s="1" t="str">
        <f>"д"&amp;номер!A12</f>
        <v>д12</v>
      </c>
      <c r="K341" s="10" t="s">
        <v>1075</v>
      </c>
      <c r="AM341" s="1">
        <v>17</v>
      </c>
      <c r="AN341" s="1">
        <v>180</v>
      </c>
      <c r="AO341" s="1">
        <v>1</v>
      </c>
      <c r="AP341" s="1">
        <v>250</v>
      </c>
      <c r="AQ341" s="14" t="s">
        <v>554</v>
      </c>
      <c r="AR341" s="1" t="s">
        <v>1439</v>
      </c>
    </row>
    <row r="342" spans="1:44" x14ac:dyDescent="0.2">
      <c r="A342" s="1" t="s">
        <v>1440</v>
      </c>
      <c r="B342" s="1" t="s">
        <v>1441</v>
      </c>
      <c r="C342" s="1" t="s">
        <v>1442</v>
      </c>
      <c r="D342" s="1" t="str">
        <f t="shared" si="23"/>
        <v>Documents\GitHub\Ozon_upload\barcode\amazing pics\Термонаклейка арбуз с сердцем и надписью.pdf</v>
      </c>
      <c r="E342" s="10" t="str">
        <f>CONCATENATE("C:\Users\",username!A50,"\Documents\GitHub\Ozon_upload\DTF_images\tatyana\A5\all\",C342,".tif")</f>
        <v>C:\Users\maxim\Documents\GitHub\Ozon_upload\DTF_images\tatyana\A5\all\melon_heart_horiz.tif</v>
      </c>
      <c r="F342" s="1">
        <v>1</v>
      </c>
      <c r="G342" s="1">
        <v>2</v>
      </c>
      <c r="I342" s="1" t="str">
        <f>"д"&amp;номер!A13</f>
        <v>д13</v>
      </c>
      <c r="K342" s="10" t="s">
        <v>1075</v>
      </c>
      <c r="AM342" s="1">
        <v>17</v>
      </c>
      <c r="AN342" s="1">
        <v>180</v>
      </c>
      <c r="AO342" s="1">
        <v>1</v>
      </c>
      <c r="AP342" s="1">
        <v>250</v>
      </c>
      <c r="AQ342" s="14" t="s">
        <v>554</v>
      </c>
      <c r="AR342" s="1" t="s">
        <v>1443</v>
      </c>
    </row>
    <row r="343" spans="1:44" x14ac:dyDescent="0.2">
      <c r="A343" s="1" t="s">
        <v>1444</v>
      </c>
      <c r="B343" s="1" t="s">
        <v>1445</v>
      </c>
      <c r="C343" s="1" t="s">
        <v>1446</v>
      </c>
      <c r="D343" s="1" t="str">
        <f t="shared" si="23"/>
        <v>Documents\GitHub\Ozon_upload\barcode\amazing pics\Термонаклейка Лисёнок с розовыми щёчками.pdf</v>
      </c>
      <c r="E343" s="10" t="str">
        <f>CONCATENATE("C:\Users\",username!A51,"\Documents\GitHub\Ozon_upload\DTF_images\tatyana\A5\all\",C343,".tif")</f>
        <v>C:\Users\maxim\Documents\GitHub\Ozon_upload\DTF_images\tatyana\A5\all\fox_looking_ff4_vert.tif</v>
      </c>
      <c r="F343" s="1">
        <v>0</v>
      </c>
      <c r="G343" s="1">
        <v>2</v>
      </c>
      <c r="I343" s="1" t="str">
        <f>"д"&amp;номер!A14</f>
        <v>д14</v>
      </c>
      <c r="K343" s="10" t="s">
        <v>1075</v>
      </c>
      <c r="AM343" s="1">
        <v>17</v>
      </c>
      <c r="AN343" s="1">
        <v>180</v>
      </c>
      <c r="AO343" s="1">
        <v>1</v>
      </c>
      <c r="AP343" s="1">
        <v>250</v>
      </c>
      <c r="AQ343" s="14" t="s">
        <v>554</v>
      </c>
      <c r="AR343" s="1" t="s">
        <v>1447</v>
      </c>
    </row>
    <row r="344" spans="1:44" x14ac:dyDescent="0.2">
      <c r="A344" s="1" t="s">
        <v>1448</v>
      </c>
      <c r="B344" s="1" t="s">
        <v>1449</v>
      </c>
      <c r="C344" s="1" t="s">
        <v>1450</v>
      </c>
      <c r="D344" s="1" t="str">
        <f t="shared" si="23"/>
        <v>Documents\GitHub\Ozon_upload\barcode\amazing pics\Термонаклейка Лисёнок в свитере с узорами.pdf</v>
      </c>
      <c r="E344" s="10" t="str">
        <f>CONCATENATE("C:\Users\",username!A52,"\Documents\GitHub\Ozon_upload\DTF_images\tatyana\A5\all\",C344,".tif")</f>
        <v>C:\Users\maxim\Documents\GitHub\Ozon_upload\DTF_images\tatyana\A5\all\fox_stand_1ff4_vert.tif</v>
      </c>
      <c r="F344" s="1">
        <v>0</v>
      </c>
      <c r="G344" s="1">
        <v>2</v>
      </c>
      <c r="I344" s="1" t="str">
        <f>"д"&amp;номер!A15</f>
        <v>д15</v>
      </c>
      <c r="K344" s="10" t="s">
        <v>1075</v>
      </c>
      <c r="AM344" s="1">
        <v>17</v>
      </c>
      <c r="AN344" s="1">
        <v>180</v>
      </c>
      <c r="AO344" s="1">
        <v>1</v>
      </c>
      <c r="AP344" s="1">
        <v>250</v>
      </c>
      <c r="AQ344" s="14" t="s">
        <v>554</v>
      </c>
      <c r="AR344" s="1" t="s">
        <v>1451</v>
      </c>
    </row>
    <row r="345" spans="1:44" x14ac:dyDescent="0.2">
      <c r="A345" s="1" t="s">
        <v>1452</v>
      </c>
      <c r="B345" s="1" t="s">
        <v>1453</v>
      </c>
      <c r="C345" s="1" t="s">
        <v>1454</v>
      </c>
      <c r="D345" s="1" t="str">
        <f t="shared" si="23"/>
        <v>Documents\GitHub\Ozon_upload\barcode\amazing pics\Термонаклейка Девочка в зелёном с подсолнухом.pdf</v>
      </c>
      <c r="E345" s="10" t="str">
        <f>CONCATENATE("C:\Users\",username!A53,"\Documents\GitHub\Ozon_upload\DTF_images\tatyana\A5\all\",C345,".tif")</f>
        <v>C:\Users\maxim\Documents\GitHub\Ozon_upload\DTF_images\tatyana\A5\all\girl_yellow_flower_23d_vert.tif</v>
      </c>
      <c r="F345" s="1">
        <v>0</v>
      </c>
      <c r="G345" s="1">
        <v>2</v>
      </c>
      <c r="I345" s="1" t="str">
        <f>"д"&amp;номер!A16</f>
        <v>д16</v>
      </c>
      <c r="K345" s="10" t="s">
        <v>1075</v>
      </c>
      <c r="AM345" s="1">
        <v>17</v>
      </c>
      <c r="AN345" s="1">
        <v>180</v>
      </c>
      <c r="AO345" s="1">
        <v>1</v>
      </c>
      <c r="AP345" s="1">
        <v>250</v>
      </c>
      <c r="AQ345" s="14" t="s">
        <v>554</v>
      </c>
      <c r="AR345" s="1" t="s">
        <v>1455</v>
      </c>
    </row>
    <row r="346" spans="1:44" x14ac:dyDescent="0.2">
      <c r="A346" s="1" t="s">
        <v>1456</v>
      </c>
      <c r="B346" s="1" t="s">
        <v>1457</v>
      </c>
      <c r="C346" s="1" t="s">
        <v>1458</v>
      </c>
      <c r="D346" s="1" t="str">
        <f t="shared" si="23"/>
        <v>Documents\GitHub\Ozon_upload\barcode\amazing pics\Термонаклейка Радужный мишка с улыбкой.pdf</v>
      </c>
      <c r="E346" s="10" t="str">
        <f>CONCATENATE("C:\Users\",username!A54,"\Documents\GitHub\Ozon_upload\DTF_images\tatyana\A5\all\",C346,".tif")</f>
        <v>C:\Users\maxim\Documents\GitHub\Ozon_upload\DTF_images\tatyana\A5\all\happy_bear_ff_vert.tif</v>
      </c>
      <c r="F346" s="1">
        <v>0</v>
      </c>
      <c r="G346" s="1">
        <v>2</v>
      </c>
      <c r="I346" s="1" t="str">
        <f>"д"&amp;номер!A17</f>
        <v>д17</v>
      </c>
      <c r="K346" s="10" t="s">
        <v>1075</v>
      </c>
      <c r="AM346" s="1">
        <v>17</v>
      </c>
      <c r="AN346" s="1">
        <v>180</v>
      </c>
      <c r="AO346" s="1">
        <v>1</v>
      </c>
      <c r="AP346" s="1">
        <v>250</v>
      </c>
      <c r="AQ346" s="14" t="s">
        <v>554</v>
      </c>
      <c r="AR346" s="1" t="s">
        <v>1459</v>
      </c>
    </row>
    <row r="347" spans="1:44" x14ac:dyDescent="0.2">
      <c r="A347" s="1" t="s">
        <v>1460</v>
      </c>
      <c r="B347" s="1" t="s">
        <v>1461</v>
      </c>
      <c r="C347" s="1" t="s">
        <v>1462</v>
      </c>
      <c r="D347" s="1" t="str">
        <f t="shared" si="23"/>
        <v>Documents\GitHub\Ozon_upload\barcode\amazing pics\Термонаклейка Радужный котенок счастливый.pdf</v>
      </c>
      <c r="E347" s="10" t="str">
        <f>CONCATENATE("C:\Users\",username!A55,"\Documents\GitHub\Ozon_upload\DTF_images\tatyana\A5\all\",C347,".tif")</f>
        <v>C:\Users\maxim\Documents\GitHub\Ozon_upload\DTF_images\tatyana\A5\all\happy_cat_ff_vert.tif</v>
      </c>
      <c r="F347" s="1">
        <v>0</v>
      </c>
      <c r="G347" s="1">
        <v>2</v>
      </c>
      <c r="I347" s="1" t="str">
        <f>"д"&amp;номер!A18</f>
        <v>д18</v>
      </c>
      <c r="K347" s="10" t="s">
        <v>1075</v>
      </c>
      <c r="AM347" s="1">
        <v>17</v>
      </c>
      <c r="AN347" s="1">
        <v>180</v>
      </c>
      <c r="AO347" s="1">
        <v>1</v>
      </c>
      <c r="AP347" s="1">
        <v>250</v>
      </c>
      <c r="AQ347" s="14" t="s">
        <v>554</v>
      </c>
      <c r="AR347" s="1" t="s">
        <v>1463</v>
      </c>
    </row>
    <row r="348" spans="1:44" x14ac:dyDescent="0.2">
      <c r="A348" s="1" t="s">
        <v>1464</v>
      </c>
      <c r="B348" s="1" t="s">
        <v>1465</v>
      </c>
      <c r="C348" s="1" t="s">
        <v>1466</v>
      </c>
      <c r="D348" s="1" t="str">
        <f t="shared" si="23"/>
        <v>Documents\GitHub\Ozon_upload\barcode\amazing pics\Термонаклейка Улыбающийся лисенок в снегу.pdf</v>
      </c>
      <c r="E348" s="10" t="str">
        <f>CONCATENATE("C:\Users\",username!A56,"\Documents\GitHub\Ozon_upload\DTF_images\tatyana\A5\all\",C348,".tif")</f>
        <v>C:\Users\maxim\Documents\GitHub\Ozon_upload\DTF_images\tatyana\A5\all\happy_fox_ff_vert.tif</v>
      </c>
      <c r="F348" s="1">
        <v>0</v>
      </c>
      <c r="G348" s="1">
        <v>2</v>
      </c>
      <c r="I348" s="1" t="str">
        <f>"д"&amp;номер!A19</f>
        <v>д19</v>
      </c>
      <c r="K348" s="10" t="s">
        <v>1075</v>
      </c>
      <c r="AM348" s="1">
        <v>17</v>
      </c>
      <c r="AN348" s="1">
        <v>180</v>
      </c>
      <c r="AO348" s="1">
        <v>1</v>
      </c>
      <c r="AP348" s="1">
        <v>250</v>
      </c>
      <c r="AQ348" s="14" t="s">
        <v>554</v>
      </c>
      <c r="AR348" s="1" t="s">
        <v>1467</v>
      </c>
    </row>
    <row r="349" spans="1:44" x14ac:dyDescent="0.2">
      <c r="A349" s="1" t="s">
        <v>1468</v>
      </c>
      <c r="B349" s="1" t="s">
        <v>1469</v>
      </c>
      <c r="C349" s="1" t="s">
        <v>1470</v>
      </c>
      <c r="D349" s="1" t="str">
        <f t="shared" si="23"/>
        <v>Documents\GitHub\Ozon_upload\barcode\amazing pics\Термонаклейка Львенок счастливый.pdf</v>
      </c>
      <c r="E349" s="10" t="str">
        <f>CONCATENATE("C:\Users\",username!A57,"\Documents\GitHub\Ozon_upload\DTF_images\tatyana\A5\all\",C349,".tif")</f>
        <v>C:\Users\maxim\Documents\GitHub\Ozon_upload\DTF_images\tatyana\A5\all\happy_lion_ff_vert.tif</v>
      </c>
      <c r="F349" s="1">
        <v>0</v>
      </c>
      <c r="G349" s="1">
        <v>2</v>
      </c>
      <c r="I349" s="1" t="str">
        <f>"д"&amp;номер!A20</f>
        <v>д20</v>
      </c>
      <c r="K349" s="10" t="s">
        <v>1075</v>
      </c>
      <c r="AM349" s="1">
        <v>17</v>
      </c>
      <c r="AN349" s="1">
        <v>180</v>
      </c>
      <c r="AO349" s="1">
        <v>1</v>
      </c>
      <c r="AP349" s="1">
        <v>250</v>
      </c>
      <c r="AQ349" s="14" t="s">
        <v>554</v>
      </c>
      <c r="AR349" s="1" t="s">
        <v>1471</v>
      </c>
    </row>
    <row r="350" spans="1:44" x14ac:dyDescent="0.2">
      <c r="A350" s="1" t="s">
        <v>1472</v>
      </c>
      <c r="B350" s="1" t="s">
        <v>1473</v>
      </c>
      <c r="C350" s="1" t="s">
        <v>1474</v>
      </c>
      <c r="D350" s="1" t="str">
        <f t="shared" si="23"/>
        <v>Documents\GitHub\Ozon_upload\barcode\amazing pics\Термонаклейка Тигренок счастливый радужный.pdf</v>
      </c>
      <c r="E350" s="10" t="str">
        <f>CONCATENATE("C:\Users\",username!A58,"\Documents\GitHub\Ozon_upload\DTF_images\tatyana\A5\all\",C350,".tif")</f>
        <v>C:\Users\maxim\Documents\GitHub\Ozon_upload\DTF_images\tatyana\A5\all\happy_tiger_ff_vert.tif</v>
      </c>
      <c r="F350" s="1">
        <v>0</v>
      </c>
      <c r="G350" s="1">
        <v>2</v>
      </c>
      <c r="I350" s="1" t="str">
        <f>"д"&amp;номер!A21</f>
        <v>д21</v>
      </c>
      <c r="K350" s="10" t="s">
        <v>1075</v>
      </c>
      <c r="AM350" s="1">
        <v>17</v>
      </c>
      <c r="AN350" s="1">
        <v>180</v>
      </c>
      <c r="AO350" s="1">
        <v>1</v>
      </c>
      <c r="AP350" s="1">
        <v>250</v>
      </c>
      <c r="AQ350" s="14" t="s">
        <v>554</v>
      </c>
      <c r="AR350" s="1" t="s">
        <v>1475</v>
      </c>
    </row>
    <row r="351" spans="1:44" x14ac:dyDescent="0.2">
      <c r="A351" s="1" t="s">
        <v>1476</v>
      </c>
      <c r="B351" s="1" t="s">
        <v>1477</v>
      </c>
      <c r="C351" s="1" t="s">
        <v>1478</v>
      </c>
      <c r="D351" s="1" t="str">
        <f t="shared" si="23"/>
        <v>Documents\GitHub\Ozon_upload\barcode\amazing pics\Термонаклейка Ёжики в кружках с сердечками.pdf</v>
      </c>
      <c r="E351" s="10" t="str">
        <f>CONCATENATE("C:\Users\",username!A59,"\Documents\GitHub\Ozon_upload\DTF_images\tatyana\A5\all\",C351,".tif")</f>
        <v>C:\Users\maxim\Documents\GitHub\Ozon_upload\DTF_images\tatyana\A5\all\hedgehoges_two_cups_23sss_horiz.tif</v>
      </c>
      <c r="F351" s="1">
        <v>1</v>
      </c>
      <c r="G351" s="1">
        <v>2</v>
      </c>
      <c r="I351" s="1" t="str">
        <f>"д"&amp;номер!A22</f>
        <v>д22</v>
      </c>
      <c r="K351" s="10" t="s">
        <v>1075</v>
      </c>
      <c r="AM351" s="1">
        <v>17</v>
      </c>
      <c r="AN351" s="1">
        <v>180</v>
      </c>
      <c r="AO351" s="1">
        <v>1</v>
      </c>
      <c r="AP351" s="1">
        <v>250</v>
      </c>
      <c r="AQ351" s="14" t="s">
        <v>554</v>
      </c>
      <c r="AR351" s="1" t="s">
        <v>1479</v>
      </c>
    </row>
    <row r="352" spans="1:44" x14ac:dyDescent="0.2">
      <c r="A352" s="1" t="s">
        <v>1480</v>
      </c>
      <c r="B352" s="1" t="s">
        <v>1481</v>
      </c>
      <c r="C352" s="1" t="s">
        <v>1482</v>
      </c>
      <c r="D352" s="1" t="str">
        <f t="shared" si="23"/>
        <v>Documents\GitHub\Ozon_upload\barcode\amazing pics\Термонаклейка Оленёнок в шарфе.pdf</v>
      </c>
      <c r="E352" s="10" t="str">
        <f>CONCATENATE("C:\Users\",username!A60,"\Documents\GitHub\Ozon_upload\DTF_images\tatyana\A5\all\",C352,".tif")</f>
        <v>C:\Users\maxim\Documents\GitHub\Ozon_upload\DTF_images\tatyana\A5\all\olen_23dds_vert.tif</v>
      </c>
      <c r="F352" s="1">
        <v>0</v>
      </c>
      <c r="G352" s="1">
        <v>2</v>
      </c>
      <c r="I352" s="1" t="str">
        <f>"д"&amp;номер!A23</f>
        <v>д23</v>
      </c>
      <c r="K352" s="10" t="s">
        <v>1075</v>
      </c>
      <c r="AM352" s="1">
        <v>17</v>
      </c>
      <c r="AN352" s="1">
        <v>180</v>
      </c>
      <c r="AO352" s="1">
        <v>1</v>
      </c>
      <c r="AP352" s="1">
        <v>250</v>
      </c>
      <c r="AQ352" s="14" t="s">
        <v>554</v>
      </c>
      <c r="AR352" s="1" t="s">
        <v>1483</v>
      </c>
    </row>
    <row r="353" spans="1:44" x14ac:dyDescent="0.2">
      <c r="A353" s="1" t="s">
        <v>1484</v>
      </c>
      <c r="B353" s="1" t="s">
        <v>1485</v>
      </c>
      <c r="C353" s="1" t="s">
        <v>1486</v>
      </c>
      <c r="D353" s="1" t="str">
        <f t="shared" si="23"/>
        <v>Documents\GitHub\Ozon_upload\barcode\amazing pics\Термонаклейка Зевающий зайка в пижаме.pdf</v>
      </c>
      <c r="E353" s="10" t="str">
        <f>CONCATENATE("C:\Users\",username!A61,"\Documents\GitHub\Ozon_upload\DTF_images\tatyana\A5\all\",C353,".tif")</f>
        <v>C:\Users\maxim\Documents\GitHub\Ozon_upload\DTF_images\tatyana\A5\all\rabbit_sleeping_231s_vert.tif</v>
      </c>
      <c r="F353" s="1">
        <v>0</v>
      </c>
      <c r="G353" s="1">
        <v>2</v>
      </c>
      <c r="I353" s="1" t="str">
        <f>"д"&amp;номер!A24</f>
        <v>д24</v>
      </c>
      <c r="K353" s="10" t="s">
        <v>1075</v>
      </c>
      <c r="AM353" s="1">
        <v>17</v>
      </c>
      <c r="AN353" s="1">
        <v>180</v>
      </c>
      <c r="AO353" s="1">
        <v>1</v>
      </c>
      <c r="AP353" s="1">
        <v>250</v>
      </c>
      <c r="AQ353" s="14" t="s">
        <v>554</v>
      </c>
      <c r="AR353" s="1" t="s">
        <v>1487</v>
      </c>
    </row>
    <row r="354" spans="1:44" ht="15" x14ac:dyDescent="0.25">
      <c r="A354" s="25" t="s">
        <v>1488</v>
      </c>
      <c r="B354" s="1" t="s">
        <v>1489</v>
      </c>
      <c r="C354" s="1" t="s">
        <v>1490</v>
      </c>
      <c r="D354" s="1" t="str">
        <f t="shared" si="23"/>
        <v>Documents\GitHub\Ozon_upload\barcode\amazing pics\Термонаклейка Дисней утка Дейзи и Минни сидят.pdf</v>
      </c>
      <c r="E354" s="21" t="str">
        <f t="shared" ref="E354:E359" si="24">CONCATENATE("C:\Users\maxim\Documents\GitHub\Ozon_upload\DTF_images\tatyana\A5\set2\",C354,".tif")</f>
        <v>C:\Users\maxim\Documents\GitHub\Ozon_upload\DTF_images\tatyana\A5\set2\123_horiz.tif</v>
      </c>
      <c r="F354" s="1">
        <v>1</v>
      </c>
      <c r="G354" s="1">
        <v>2</v>
      </c>
      <c r="I354" s="1" t="s">
        <v>1491</v>
      </c>
      <c r="K354" s="1" t="s">
        <v>1075</v>
      </c>
      <c r="AM354" s="1">
        <v>17</v>
      </c>
      <c r="AN354" s="1">
        <v>180</v>
      </c>
      <c r="AO354" s="1">
        <v>1</v>
      </c>
      <c r="AP354" s="1">
        <v>250</v>
      </c>
      <c r="AQ354" s="14" t="s">
        <v>554</v>
      </c>
      <c r="AR354" s="1" t="s">
        <v>1492</v>
      </c>
    </row>
    <row r="355" spans="1:44" ht="15" x14ac:dyDescent="0.25">
      <c r="A355" s="25" t="s">
        <v>1493</v>
      </c>
      <c r="B355" s="1" t="s">
        <v>1494</v>
      </c>
      <c r="C355" s="1" t="s">
        <v>1495</v>
      </c>
      <c r="D355" s="1" t="str">
        <f t="shared" si="23"/>
        <v>Documents\GitHub\Ozon_upload\barcode\amazing pics\Термонаклейка Дисней утка Дейзи и Минни мороженое.pdf</v>
      </c>
      <c r="E355" s="21" t="str">
        <f t="shared" si="24"/>
        <v>C:\Users\maxim\Documents\GitHub\Ozon_upload\DTF_images\tatyana\A5\set2\124_horiz.tif</v>
      </c>
      <c r="F355" s="1">
        <v>1</v>
      </c>
      <c r="G355" s="1">
        <v>2</v>
      </c>
      <c r="I355" s="1" t="s">
        <v>1496</v>
      </c>
      <c r="K355" s="1" t="s">
        <v>1075</v>
      </c>
      <c r="AM355" s="1">
        <v>17</v>
      </c>
      <c r="AN355" s="1">
        <v>180</v>
      </c>
      <c r="AO355" s="1">
        <v>1</v>
      </c>
      <c r="AP355" s="1">
        <v>250</v>
      </c>
      <c r="AQ355" s="14" t="s">
        <v>554</v>
      </c>
      <c r="AR355" s="1" t="s">
        <v>1497</v>
      </c>
    </row>
    <row r="356" spans="1:44" ht="15" x14ac:dyDescent="0.25">
      <c r="A356" s="25" t="s">
        <v>1498</v>
      </c>
      <c r="B356" s="1" t="s">
        <v>1499</v>
      </c>
      <c r="C356" s="1" t="s">
        <v>1500</v>
      </c>
      <c r="D356" s="1" t="str">
        <f t="shared" si="23"/>
        <v>Documents\GitHub\Ozon_upload\barcode\amazing pics\Термонаклейка Дисней утка Дейзи улыбка.pdf</v>
      </c>
      <c r="E356" s="21" t="str">
        <f t="shared" si="24"/>
        <v>C:\Users\maxim\Documents\GitHub\Ozon_upload\DTF_images\tatyana\A5\set2\125_vert.tif</v>
      </c>
      <c r="F356" s="1">
        <v>0</v>
      </c>
      <c r="G356" s="1">
        <v>2</v>
      </c>
      <c r="I356" s="1" t="s">
        <v>1501</v>
      </c>
      <c r="K356" s="1" t="s">
        <v>1075</v>
      </c>
      <c r="AM356" s="1">
        <v>17</v>
      </c>
      <c r="AN356" s="1">
        <v>180</v>
      </c>
      <c r="AO356" s="1">
        <v>1</v>
      </c>
      <c r="AP356" s="1">
        <v>250</v>
      </c>
      <c r="AQ356" s="14" t="s">
        <v>554</v>
      </c>
      <c r="AR356" s="1" t="s">
        <v>1502</v>
      </c>
    </row>
    <row r="357" spans="1:44" ht="15" x14ac:dyDescent="0.25">
      <c r="A357" s="25" t="s">
        <v>1503</v>
      </c>
      <c r="B357" s="1" t="s">
        <v>1504</v>
      </c>
      <c r="C357" s="1" t="s">
        <v>1505</v>
      </c>
      <c r="D357" s="1" t="str">
        <f t="shared" si="23"/>
        <v>Documents\GitHub\Ozon_upload\barcode\amazing pics\Термонаклейка Дисней утка Дейзи и Минни пис.pdf</v>
      </c>
      <c r="E357" s="21" t="str">
        <f t="shared" si="24"/>
        <v>C:\Users\maxim\Documents\GitHub\Ozon_upload\DTF_images\tatyana\A5\set2\126_horiz.tif</v>
      </c>
      <c r="F357" s="1">
        <v>1</v>
      </c>
      <c r="G357" s="1">
        <v>2</v>
      </c>
      <c r="I357" s="1" t="s">
        <v>1506</v>
      </c>
      <c r="K357" s="1" t="s">
        <v>1075</v>
      </c>
      <c r="AM357" s="1">
        <v>17</v>
      </c>
      <c r="AN357" s="1">
        <v>180</v>
      </c>
      <c r="AO357" s="1">
        <v>1</v>
      </c>
      <c r="AP357" s="1">
        <v>250</v>
      </c>
      <c r="AQ357" s="14" t="s">
        <v>554</v>
      </c>
      <c r="AR357" s="1" t="s">
        <v>1507</v>
      </c>
    </row>
    <row r="358" spans="1:44" ht="15" x14ac:dyDescent="0.25">
      <c r="A358" s="25" t="s">
        <v>1508</v>
      </c>
      <c r="B358" s="1" t="s">
        <v>1509</v>
      </c>
      <c r="C358" s="1" t="s">
        <v>1510</v>
      </c>
      <c r="D358" s="1" t="str">
        <f t="shared" si="23"/>
        <v>Documents\GitHub\Ozon_upload\barcode\amazing pics\Термонаклейка Дейзи и Минни Маус коктейль.pdf</v>
      </c>
      <c r="E358" s="21" t="str">
        <f t="shared" si="24"/>
        <v>C:\Users\maxim\Documents\GitHub\Ozon_upload\DTF_images\tatyana\A5\set2\127_horiz.tif</v>
      </c>
      <c r="F358" s="1">
        <v>1</v>
      </c>
      <c r="G358" s="1">
        <v>2</v>
      </c>
      <c r="I358" s="1" t="s">
        <v>1511</v>
      </c>
      <c r="K358" s="1" t="s">
        <v>1075</v>
      </c>
      <c r="AM358" s="1">
        <v>17</v>
      </c>
      <c r="AN358" s="1">
        <v>180</v>
      </c>
      <c r="AO358" s="1">
        <v>1</v>
      </c>
      <c r="AP358" s="1">
        <v>250</v>
      </c>
      <c r="AQ358" s="14" t="s">
        <v>554</v>
      </c>
      <c r="AR358" s="1" t="s">
        <v>1512</v>
      </c>
    </row>
    <row r="359" spans="1:44" ht="15" x14ac:dyDescent="0.25">
      <c r="A359" s="26" t="s">
        <v>1513</v>
      </c>
      <c r="B359" s="11" t="s">
        <v>1514</v>
      </c>
      <c r="C359" s="11" t="s">
        <v>1515</v>
      </c>
      <c r="D359" s="1" t="str">
        <f t="shared" si="23"/>
        <v>Documents\GitHub\Ozon_upload\barcode\amazing pics\Термонаклейка Минни Маус целует Микки.pdf</v>
      </c>
      <c r="E359" s="21" t="str">
        <f t="shared" si="24"/>
        <v>C:\Users\maxim\Documents\GitHub\Ozon_upload\DTF_images\tatyana\A5\set2\129_vert.tif</v>
      </c>
      <c r="F359" s="11">
        <v>0</v>
      </c>
      <c r="G359" s="11">
        <v>2</v>
      </c>
      <c r="H359" s="11"/>
      <c r="I359" s="11" t="s">
        <v>1516</v>
      </c>
      <c r="J359" s="11"/>
      <c r="K359" s="11" t="s">
        <v>1075</v>
      </c>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
        <v>17</v>
      </c>
      <c r="AN359" s="1">
        <v>180</v>
      </c>
      <c r="AO359" s="1">
        <v>1</v>
      </c>
      <c r="AP359" s="1">
        <v>250</v>
      </c>
      <c r="AQ359" s="14" t="s">
        <v>554</v>
      </c>
      <c r="AR359" s="1" t="s">
        <v>1517</v>
      </c>
    </row>
    <row r="360" spans="1:44" ht="15" x14ac:dyDescent="0.25">
      <c r="A360" s="25" t="s">
        <v>1518</v>
      </c>
      <c r="B360" s="1" t="s">
        <v>1519</v>
      </c>
      <c r="C360" s="1" t="s">
        <v>1520</v>
      </c>
      <c r="D360" s="1" t="str">
        <f t="shared" si="23"/>
        <v>Documents\GitHub\Ozon_upload\barcode\amazing pics\Термонаклейка Формы термозаплатка.pdf</v>
      </c>
      <c r="E360" s="27" t="str">
        <f>CONCATENATE("C:\Users\",username!A26,"\Documents\GitHub\Ozon_upload\DTF_images\tatyana\A5\set3\",C360,".tif")</f>
        <v>C:\Users\maxim\Documents\GitHub\Ozon_upload\DTF_images\tatyana\A5\set3\patch_a.tif</v>
      </c>
      <c r="F360" s="1">
        <v>0</v>
      </c>
      <c r="G360" s="1">
        <v>2</v>
      </c>
      <c r="I360" s="18" t="s">
        <v>1521</v>
      </c>
      <c r="K360" s="1" t="s">
        <v>1075</v>
      </c>
      <c r="AM360" s="1">
        <v>17</v>
      </c>
      <c r="AN360" s="1">
        <v>180</v>
      </c>
      <c r="AO360" s="1">
        <v>1</v>
      </c>
      <c r="AP360" s="1">
        <v>250</v>
      </c>
      <c r="AQ360" s="14" t="s">
        <v>554</v>
      </c>
      <c r="AR360" s="1" t="s">
        <v>1522</v>
      </c>
    </row>
    <row r="361" spans="1:44" ht="15" x14ac:dyDescent="0.25">
      <c r="A361" s="25" t="s">
        <v>1523</v>
      </c>
      <c r="B361" s="1" t="s">
        <v>1524</v>
      </c>
      <c r="C361" s="1" t="s">
        <v>1525</v>
      </c>
      <c r="D361" s="1" t="str">
        <f t="shared" si="23"/>
        <v>Documents\GitHub\Ozon_upload\barcode\amazing pics\Термонаклейка Сердечки термозаплатка.pdf</v>
      </c>
      <c r="E361" s="27" t="str">
        <f>CONCATENATE("C:\Users\",username!A27,"\Documents\GitHub\Ozon_upload\DTF_images\tatyana\A5\set3\",C361,".tif")</f>
        <v>C:\Users\maxim\Documents\GitHub\Ozon_upload\DTF_images\tatyana\A5\set3\patch_hearts_black.tif</v>
      </c>
      <c r="F361" s="1">
        <v>0</v>
      </c>
      <c r="G361" s="1">
        <v>2</v>
      </c>
      <c r="I361" s="1" t="s">
        <v>1526</v>
      </c>
      <c r="K361" s="1" t="s">
        <v>1075</v>
      </c>
      <c r="AM361" s="1">
        <v>17</v>
      </c>
      <c r="AN361" s="1">
        <v>180</v>
      </c>
      <c r="AO361" s="1">
        <v>1</v>
      </c>
      <c r="AP361" s="1">
        <v>250</v>
      </c>
      <c r="AQ361" s="14" t="s">
        <v>554</v>
      </c>
      <c r="AR361" s="1" t="s">
        <v>1527</v>
      </c>
    </row>
    <row r="362" spans="1:44" ht="15" x14ac:dyDescent="0.25">
      <c r="A362" s="25" t="s">
        <v>1528</v>
      </c>
      <c r="B362" s="1" t="s">
        <v>1529</v>
      </c>
      <c r="C362" s="1" t="s">
        <v>1530</v>
      </c>
      <c r="D362" s="1" t="str">
        <f t="shared" si="23"/>
        <v>Documents\GitHub\Ozon_upload\barcode\amazing pics\Термонаклейка Звезды Черные термозаплатка.pdf</v>
      </c>
      <c r="E362" s="27" t="str">
        <f>CONCATENATE("C:\Users\",username!A28,"\Documents\GitHub\Ozon_upload\DTF_images\tatyana\A5\set3\",C362,".tif")</f>
        <v>C:\Users\maxim\Documents\GitHub\Ozon_upload\DTF_images\tatyana\A5\set3\patch_stars_black.tif</v>
      </c>
      <c r="F362" s="1">
        <v>0</v>
      </c>
      <c r="G362" s="1">
        <v>2</v>
      </c>
      <c r="I362" s="18" t="s">
        <v>1531</v>
      </c>
      <c r="K362" s="1" t="s">
        <v>1075</v>
      </c>
      <c r="AM362" s="1">
        <v>17</v>
      </c>
      <c r="AN362" s="1">
        <v>180</v>
      </c>
      <c r="AO362" s="1">
        <v>1</v>
      </c>
      <c r="AP362" s="1">
        <v>250</v>
      </c>
      <c r="AQ362" s="14" t="s">
        <v>554</v>
      </c>
      <c r="AR362" s="1" t="s">
        <v>1532</v>
      </c>
    </row>
    <row r="363" spans="1:44" ht="15" x14ac:dyDescent="0.25">
      <c r="A363" s="25" t="s">
        <v>1533</v>
      </c>
      <c r="B363" s="1" t="s">
        <v>1534</v>
      </c>
      <c r="C363" s="1" t="s">
        <v>1535</v>
      </c>
      <c r="D363" s="1" t="str">
        <f t="shared" si="23"/>
        <v>Documents\GitHub\Ozon_upload\barcode\amazing pics\Термонаклейка Звезды Белые термозаплатка.pdf</v>
      </c>
      <c r="E363" s="27" t="str">
        <f>CONCATENATE("C:\Users\",username!A29,"\Documents\GitHub\Ozon_upload\DTF_images\tatyana\A5\set3\",C363,".tif")</f>
        <v>C:\Users\maxim\Documents\GitHub\Ozon_upload\DTF_images\tatyana\A5\set3\patch_stars_white.tif</v>
      </c>
      <c r="F363" s="1">
        <v>0</v>
      </c>
      <c r="G363" s="1">
        <v>2</v>
      </c>
      <c r="I363" s="18" t="s">
        <v>1536</v>
      </c>
      <c r="K363" s="1" t="s">
        <v>1075</v>
      </c>
      <c r="AM363" s="1">
        <v>17</v>
      </c>
      <c r="AN363" s="1">
        <v>180</v>
      </c>
      <c r="AO363" s="1">
        <v>1</v>
      </c>
      <c r="AP363" s="1">
        <v>250</v>
      </c>
      <c r="AQ363" s="14" t="s">
        <v>554</v>
      </c>
      <c r="AR363" s="1" t="s">
        <v>1537</v>
      </c>
    </row>
    <row r="364" spans="1:44" ht="15" x14ac:dyDescent="0.25">
      <c r="A364" s="28" t="s">
        <v>1538</v>
      </c>
      <c r="B364" s="29" t="s">
        <v>1539</v>
      </c>
      <c r="C364" s="29" t="s">
        <v>1540</v>
      </c>
      <c r="D364" s="1" t="str">
        <f t="shared" si="23"/>
        <v>Documents\GitHub\Ozon_upload\barcode\amazing pics\Термонаклейки Nike Найк набор.pdf</v>
      </c>
      <c r="E364" s="30" t="str">
        <f>CONCATENATE("C:\Users\",username!A29,"\Documents\GitHub\Ozon_upload\DTF_images\tatyana\A4\logos\",C364,".tif")</f>
        <v>C:\Users\maxim\Documents\GitHub\Ozon_upload\DTF_images\tatyana\A4\logos\200_vert.tif</v>
      </c>
      <c r="F364" s="29">
        <v>1</v>
      </c>
      <c r="G364" s="29">
        <v>1</v>
      </c>
      <c r="H364" s="29"/>
      <c r="I364" s="29" t="s">
        <v>1541</v>
      </c>
      <c r="J364" s="29"/>
      <c r="K364" s="29" t="s">
        <v>1075</v>
      </c>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v>33</v>
      </c>
      <c r="AN364" s="29">
        <v>220</v>
      </c>
      <c r="AO364" s="29">
        <v>1</v>
      </c>
      <c r="AP364" s="29">
        <v>300</v>
      </c>
      <c r="AQ364" s="14" t="s">
        <v>623</v>
      </c>
      <c r="AR364" s="1" t="s">
        <v>1542</v>
      </c>
    </row>
    <row r="365" spans="1:44" ht="15" x14ac:dyDescent="0.25">
      <c r="A365" s="31" t="s">
        <v>1543</v>
      </c>
      <c r="B365" s="29" t="s">
        <v>1544</v>
      </c>
      <c r="C365" s="29" t="s">
        <v>1545</v>
      </c>
      <c r="D365" s="1" t="str">
        <f t="shared" si="23"/>
        <v>Documents\GitHub\Ozon_upload\barcode\amazing pics\Термонаклейка набор Щенячий Патруль Paw Patrol.pdf</v>
      </c>
      <c r="E365" s="29" t="str">
        <f>CONCATENATE("C:\Users\",username!A29,"\Documents\GitHub\Ozon_upload\DTF_images\tatyana\A4\bundle\",C365,".tif")</f>
        <v>C:\Users\maxim\Documents\GitHub\Ozon_upload\DTF_images\tatyana\A4\bundle\paw_patrol_bundle.tif</v>
      </c>
      <c r="F365" s="29">
        <v>1</v>
      </c>
      <c r="G365" s="29">
        <v>1</v>
      </c>
      <c r="H365" s="29"/>
      <c r="I365" s="29" t="s">
        <v>1546</v>
      </c>
      <c r="J365" s="29"/>
      <c r="K365" s="29" t="s">
        <v>1075</v>
      </c>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v>33</v>
      </c>
      <c r="AN365" s="29">
        <v>220</v>
      </c>
      <c r="AO365" s="29">
        <v>1</v>
      </c>
      <c r="AP365" s="29">
        <v>300</v>
      </c>
      <c r="AQ365" s="14" t="s">
        <v>623</v>
      </c>
      <c r="AR365" s="1" t="s">
        <v>1547</v>
      </c>
    </row>
    <row r="366" spans="1:44" ht="15" x14ac:dyDescent="0.25">
      <c r="A366" s="31" t="s">
        <v>1548</v>
      </c>
      <c r="B366" s="29" t="s">
        <v>1549</v>
      </c>
      <c r="C366" s="29" t="s">
        <v>1550</v>
      </c>
      <c r="D366" s="1" t="str">
        <f t="shared" si="23"/>
        <v>Documents\GitHub\Ozon_upload\barcode\amazing pics\Термонаклейка набор Соник Sonic.pdf</v>
      </c>
      <c r="E366" s="29" t="str">
        <f>CONCATENATE("C:\Users\",username!A30,"\Documents\GitHub\Ozon_upload\DTF_images\tatyana\A4\bundle\",C366,".tif")</f>
        <v>C:\Users\maxim\Documents\GitHub\Ozon_upload\DTF_images\tatyana\A4\bundle\Sonic_bundle.tif</v>
      </c>
      <c r="F366" s="29">
        <v>1</v>
      </c>
      <c r="G366" s="29">
        <v>1</v>
      </c>
      <c r="H366" s="29"/>
      <c r="I366" s="29" t="s">
        <v>1551</v>
      </c>
      <c r="J366" s="29"/>
      <c r="K366" s="29" t="s">
        <v>1075</v>
      </c>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v>33</v>
      </c>
      <c r="AN366" s="29">
        <v>220</v>
      </c>
      <c r="AO366" s="29">
        <v>1</v>
      </c>
      <c r="AP366" s="29">
        <v>300</v>
      </c>
      <c r="AQ366" s="14" t="s">
        <v>623</v>
      </c>
      <c r="AR366" s="1" t="s">
        <v>1552</v>
      </c>
    </row>
    <row r="367" spans="1:44" ht="15" x14ac:dyDescent="0.25">
      <c r="A367" s="31" t="s">
        <v>1553</v>
      </c>
      <c r="B367" s="29" t="s">
        <v>1554</v>
      </c>
      <c r="C367" s="29" t="s">
        <v>1555</v>
      </c>
      <c r="D367" s="1" t="str">
        <f t="shared" si="23"/>
        <v>Documents\GitHub\Ozon_upload\barcode\amazing pics\Термонаклейка набор Симпсоны The Simpsons.pdf</v>
      </c>
      <c r="E367" s="29" t="str">
        <f>CONCATENATE("C:\Users\",username!A31,"\Documents\GitHub\Ozon_upload\DTF_images\tatyana\A4\bundle\",C367,".tif")</f>
        <v>C:\Users\maxim\Documents\GitHub\Ozon_upload\DTF_images\tatyana\A4\bundle\Simpsons_bundle.tif</v>
      </c>
      <c r="F367" s="29">
        <v>1</v>
      </c>
      <c r="G367" s="29">
        <v>1</v>
      </c>
      <c r="H367" s="29"/>
      <c r="I367" s="29" t="s">
        <v>1556</v>
      </c>
      <c r="J367" s="29"/>
      <c r="K367" s="29" t="s">
        <v>1075</v>
      </c>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v>33</v>
      </c>
      <c r="AN367" s="29">
        <v>220</v>
      </c>
      <c r="AO367" s="29">
        <v>1</v>
      </c>
      <c r="AP367" s="29">
        <v>300</v>
      </c>
      <c r="AQ367" s="14" t="s">
        <v>623</v>
      </c>
      <c r="AR367" s="1" t="s">
        <v>1557</v>
      </c>
    </row>
    <row r="368" spans="1:44" ht="15" x14ac:dyDescent="0.25">
      <c r="A368" s="31" t="s">
        <v>1558</v>
      </c>
      <c r="B368" s="32" t="s">
        <v>1559</v>
      </c>
      <c r="C368" s="29" t="s">
        <v>1560</v>
      </c>
      <c r="D368" s="1" t="str">
        <f t="shared" si="23"/>
        <v>Documents\GitHub\Ozon_upload\barcode\amazing pics\Термонаклейка набор Винни Пух.pdf</v>
      </c>
      <c r="E368" s="29" t="str">
        <f>CONCATENATE("C:\Users\",username!A32,"\Documents\GitHub\Ozon_upload\DTF_images\tatyana\A4\bundle\",C368,".tif")</f>
        <v>C:\Users\maxim\Documents\GitHub\Ozon_upload\DTF_images\tatyana\A4\bundle\Winnie_bundle.tif</v>
      </c>
      <c r="F368" s="29">
        <v>1</v>
      </c>
      <c r="G368" s="29">
        <v>1</v>
      </c>
      <c r="H368" s="29"/>
      <c r="I368" s="29" t="s">
        <v>1561</v>
      </c>
      <c r="J368" s="29"/>
      <c r="K368" s="29" t="s">
        <v>1075</v>
      </c>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v>33</v>
      </c>
      <c r="AN368" s="29">
        <v>220</v>
      </c>
      <c r="AO368" s="29">
        <v>1</v>
      </c>
      <c r="AP368" s="29">
        <v>300</v>
      </c>
      <c r="AQ368" s="14" t="s">
        <v>623</v>
      </c>
      <c r="AR368" s="1" t="s">
        <v>1562</v>
      </c>
    </row>
    <row r="369" spans="1:44" ht="15" x14ac:dyDescent="0.25">
      <c r="A369" s="31" t="s">
        <v>1563</v>
      </c>
      <c r="B369" s="32" t="s">
        <v>1564</v>
      </c>
      <c r="C369" s="29" t="s">
        <v>1565</v>
      </c>
      <c r="D369" s="1" t="str">
        <f t="shared" si="23"/>
        <v>Documents\GitHub\Ozon_upload\barcode\amazing pics\Термонаклейка набор Том и Джерри Tom and Jerry.pdf</v>
      </c>
      <c r="E369" s="29" t="str">
        <f>CONCATENATE("C:\Users\",username!A33,"\Documents\GitHub\Ozon_upload\DTF_images\tatyana\A4\bundle\",C369,".tif")</f>
        <v>C:\Users\maxim\Documents\GitHub\Ozon_upload\DTF_images\tatyana\A4\bundle\tom_and_jerry_bundle.tif</v>
      </c>
      <c r="F369" s="29">
        <v>1</v>
      </c>
      <c r="G369" s="29">
        <v>1</v>
      </c>
      <c r="H369" s="29"/>
      <c r="I369" s="29" t="s">
        <v>1566</v>
      </c>
      <c r="J369" s="29"/>
      <c r="K369" s="29" t="s">
        <v>1075</v>
      </c>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v>33</v>
      </c>
      <c r="AN369" s="29">
        <v>220</v>
      </c>
      <c r="AO369" s="29">
        <v>1</v>
      </c>
      <c r="AP369" s="29">
        <v>300</v>
      </c>
      <c r="AQ369" s="14" t="s">
        <v>623</v>
      </c>
      <c r="AR369" s="1" t="s">
        <v>1567</v>
      </c>
    </row>
    <row r="370" spans="1:44" ht="15" x14ac:dyDescent="0.25">
      <c r="A370" s="31" t="s">
        <v>1568</v>
      </c>
      <c r="B370" s="32" t="s">
        <v>1569</v>
      </c>
      <c r="C370" s="29" t="s">
        <v>1570</v>
      </c>
      <c r="D370" s="1" t="str">
        <f t="shared" si="23"/>
        <v>Documents\GitHub\Ozon_upload\barcode\amazing pics\Термонаклейка набор Черепашки ниндзя turtles TMNT.pdf</v>
      </c>
      <c r="E370" s="29" t="str">
        <f>CONCATENATE("C:\Users\",username!A34,"\Documents\GitHub\Ozon_upload\DTF_images\tatyana\A4\bundle\",C370,".tif")</f>
        <v>C:\Users\maxim\Documents\GitHub\Ozon_upload\DTF_images\tatyana\A4\bundle\turtles_bundle.tif</v>
      </c>
      <c r="F370" s="29">
        <v>1</v>
      </c>
      <c r="G370" s="29">
        <v>1</v>
      </c>
      <c r="H370" s="29"/>
      <c r="I370" s="29" t="s">
        <v>1571</v>
      </c>
      <c r="J370" s="29"/>
      <c r="K370" s="29" t="s">
        <v>1075</v>
      </c>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v>33</v>
      </c>
      <c r="AN370" s="29">
        <v>220</v>
      </c>
      <c r="AO370" s="29">
        <v>1</v>
      </c>
      <c r="AP370" s="29">
        <v>300</v>
      </c>
      <c r="AQ370" s="14" t="s">
        <v>623</v>
      </c>
      <c r="AR370" s="1" t="s">
        <v>1572</v>
      </c>
    </row>
    <row r="371" spans="1:44" x14ac:dyDescent="0.2">
      <c r="A371" s="29" t="s">
        <v>1573</v>
      </c>
      <c r="B371" s="32" t="s">
        <v>1574</v>
      </c>
      <c r="C371" s="29" t="s">
        <v>1575</v>
      </c>
      <c r="D371" s="1" t="str">
        <f t="shared" si="23"/>
        <v>Documents\GitHub\Ozon_upload\barcode\amazing pics\Термонаклейка Аниме девочка в цветах и фонарях.pdf</v>
      </c>
      <c r="E371" s="29" t="str">
        <f>CONCATENATE("C:\Users\",username!A1,"\Documents\GitHub\Ozon_upload\DTF_images\tatyana\A4\set5\",C371,".tif")</f>
        <v>C:\Users\maxim\Documents\GitHub\Ozon_upload\DTF_images\tatyana\A4\set5\anime_bubles_a_vert.tif</v>
      </c>
      <c r="F371" s="29">
        <v>1</v>
      </c>
      <c r="G371" s="29">
        <v>1</v>
      </c>
      <c r="H371" s="29"/>
      <c r="I371" s="29" t="str">
        <f>"в"&amp;номер!A1</f>
        <v>в1</v>
      </c>
      <c r="J371" s="29"/>
      <c r="K371" s="29" t="s">
        <v>1075</v>
      </c>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v>33</v>
      </c>
      <c r="AN371" s="29">
        <v>220</v>
      </c>
      <c r="AO371" s="29">
        <v>1</v>
      </c>
      <c r="AP371" s="29">
        <v>300</v>
      </c>
      <c r="AQ371" s="14" t="s">
        <v>623</v>
      </c>
      <c r="AR371" s="1" t="s">
        <v>1576</v>
      </c>
    </row>
    <row r="372" spans="1:44" x14ac:dyDescent="0.2">
      <c r="A372" s="29" t="s">
        <v>1577</v>
      </c>
      <c r="B372" s="32" t="s">
        <v>1578</v>
      </c>
      <c r="C372" s="29" t="s">
        <v>1579</v>
      </c>
      <c r="D372" s="1" t="str">
        <f t="shared" si="23"/>
        <v>Documents\GitHub\Ozon_upload\barcode\amazing pics\Термонаклейка Аниме девочка с мыльными пузырями.pdf</v>
      </c>
      <c r="E372" s="29" t="str">
        <f>CONCATENATE("C:\Users\",username!A2,"\Documents\GitHub\Ozon_upload\DTF_images\tatyana\A4\set5\",C372,".tif")</f>
        <v>C:\Users\maxim\Documents\GitHub\Ozon_upload\DTF_images\tatyana\A4\set5\anime_bubles_b_vert.tif</v>
      </c>
      <c r="F372" s="29">
        <v>1</v>
      </c>
      <c r="G372" s="29">
        <v>1</v>
      </c>
      <c r="H372" s="29"/>
      <c r="I372" s="29" t="str">
        <f>"в"&amp;номер!A2</f>
        <v>в2</v>
      </c>
      <c r="J372" s="29"/>
      <c r="K372" s="29" t="s">
        <v>1075</v>
      </c>
      <c r="L372" s="29"/>
      <c r="M372" s="33" t="str">
        <f>HYPERLINK(CONCATENATE("C:\Users\", username2!A525, "\Documents\GitHub\Ozon_upload\DTF_images\tatyana\A4\set5\", C371, "_preview.jpg"),C371)</f>
        <v>anime_bubles_a_vert</v>
      </c>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v>33</v>
      </c>
      <c r="AN372" s="29">
        <v>220</v>
      </c>
      <c r="AO372" s="29">
        <v>1</v>
      </c>
      <c r="AP372" s="29">
        <v>300</v>
      </c>
      <c r="AQ372" s="14" t="s">
        <v>623</v>
      </c>
      <c r="AR372" s="1" t="s">
        <v>1580</v>
      </c>
    </row>
    <row r="373" spans="1:44" x14ac:dyDescent="0.2">
      <c r="A373" s="29" t="s">
        <v>1581</v>
      </c>
      <c r="B373" s="32" t="s">
        <v>1582</v>
      </c>
      <c r="C373" s="29" t="s">
        <v>1583</v>
      </c>
      <c r="D373" s="1" t="str">
        <f t="shared" si="23"/>
        <v>Documents\GitHub\Ozon_upload\barcode\amazing pics\Термонаклейка Чёрная кошка с узорами на фоне луны.pdf</v>
      </c>
      <c r="E373" s="29" t="str">
        <f>CONCATENATE("C:\Users\",username!A3,"\Documents\GitHub\Ozon_upload\DTF_images\tatyana\A4\set5\",C373,".tif")</f>
        <v>C:\Users\maxim\Documents\GitHub\Ozon_upload\DTF_images\tatyana\A4\set5\cat_black_yellow_a_vert.tif</v>
      </c>
      <c r="F373" s="29">
        <v>1</v>
      </c>
      <c r="G373" s="29">
        <v>1</v>
      </c>
      <c r="H373" s="29"/>
      <c r="I373" s="29" t="str">
        <f>"в"&amp;номер!A3</f>
        <v>в3</v>
      </c>
      <c r="J373" s="29"/>
      <c r="K373" s="29" t="s">
        <v>1075</v>
      </c>
      <c r="L373" s="29"/>
      <c r="M373" s="33" t="str">
        <f>HYPERLINK(CONCATENATE("C:\Users\", username2!A526, "\Documents\GitHub\Ozon_upload\DTF_images\tatyana\A4\set5\", C372, "_preview.jpg"),C372)</f>
        <v>anime_bubles_b_vert</v>
      </c>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v>33</v>
      </c>
      <c r="AN373" s="29">
        <v>220</v>
      </c>
      <c r="AO373" s="29">
        <v>1</v>
      </c>
      <c r="AP373" s="29">
        <v>300</v>
      </c>
      <c r="AQ373" s="14" t="s">
        <v>623</v>
      </c>
      <c r="AR373" s="1" t="s">
        <v>1584</v>
      </c>
    </row>
    <row r="374" spans="1:44" x14ac:dyDescent="0.2">
      <c r="A374" s="29" t="s">
        <v>1585</v>
      </c>
      <c r="B374" s="32" t="s">
        <v>1586</v>
      </c>
      <c r="C374" s="29" t="s">
        <v>1587</v>
      </c>
      <c r="D374" s="1" t="str">
        <f t="shared" si="23"/>
        <v>Documents\GitHub\Ozon_upload\barcode\amazing pics\Термонаклейка Девушка-кошка с чёрным котом поцелуй.pdf</v>
      </c>
      <c r="E374" s="29" t="str">
        <f>CONCATENATE("C:\Users\",username!A5,"\Documents\GitHub\Ozon_upload\DTF_images\tatyana\A4\set5\",C374,".tif")</f>
        <v>C:\Users\maxim\Documents\GitHub\Ozon_upload\DTF_images\tatyana\A4\set5\cat_girl_kiss_a_vert.tif</v>
      </c>
      <c r="F374" s="29">
        <v>1</v>
      </c>
      <c r="G374" s="29">
        <v>1</v>
      </c>
      <c r="H374" s="29"/>
      <c r="I374" s="29" t="str">
        <f>"в"&amp;номер!A4</f>
        <v>в4</v>
      </c>
      <c r="J374" s="29"/>
      <c r="K374" s="29" t="s">
        <v>1075</v>
      </c>
      <c r="L374" s="29"/>
      <c r="M374" s="33" t="str">
        <f>HYPERLINK(CONCATENATE("C:\Users\", username2!A527, "\Documents\GitHub\Ozon_upload\DTF_images\tatyana\A4\set5\", C373, "_preview.jpg"),C373)</f>
        <v>cat_black_yellow_a_vert</v>
      </c>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v>33</v>
      </c>
      <c r="AN374" s="29">
        <v>220</v>
      </c>
      <c r="AO374" s="29">
        <v>1</v>
      </c>
      <c r="AP374" s="29">
        <v>300</v>
      </c>
      <c r="AQ374" s="14" t="s">
        <v>628</v>
      </c>
      <c r="AR374" s="1" t="s">
        <v>1588</v>
      </c>
    </row>
    <row r="375" spans="1:44" x14ac:dyDescent="0.2">
      <c r="A375" s="29" t="s">
        <v>1589</v>
      </c>
      <c r="B375" s="32" t="s">
        <v>1590</v>
      </c>
      <c r="C375" s="29" t="s">
        <v>1591</v>
      </c>
      <c r="D375" s="1" t="str">
        <f t="shared" si="23"/>
        <v>Documents\GitHub\Ozon_upload\barcode\amazing pics\Термонаклейка Кошка розово-фиолетовая крупный план.pdf</v>
      </c>
      <c r="E375" s="29" t="str">
        <f>CONCATENATE("C:\Users\",username!A7,"\Documents\GitHub\Ozon_upload\DTF_images\tatyana\A4\set5\",C375,".tif")</f>
        <v>C:\Users\maxim\Documents\GitHub\Ozon_upload\DTF_images\tatyana\A4\set5\cat_pink_head_closeup_vert.tif</v>
      </c>
      <c r="F375" s="29">
        <v>1</v>
      </c>
      <c r="G375" s="29">
        <v>1</v>
      </c>
      <c r="H375" s="29"/>
      <c r="I375" s="29" t="str">
        <f>"в"&amp;номер!A5</f>
        <v>в5</v>
      </c>
      <c r="J375" s="29"/>
      <c r="K375" s="29" t="s">
        <v>1075</v>
      </c>
      <c r="L375" s="29"/>
      <c r="M375" s="33" t="str">
        <f>HYPERLINK(CONCATENATE("C:\Users\", username2!A528, "\Documents\GitHub\Ozon_upload\DTF_images\tatyana\A4\set5\", C374, "_preview.jpg"),C374)</f>
        <v>cat_girl_kiss_a_vert</v>
      </c>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v>33</v>
      </c>
      <c r="AN375" s="29">
        <v>220</v>
      </c>
      <c r="AO375" s="29">
        <v>1</v>
      </c>
      <c r="AP375" s="29">
        <v>300</v>
      </c>
      <c r="AQ375" s="14" t="s">
        <v>628</v>
      </c>
      <c r="AR375" s="1" t="s">
        <v>1592</v>
      </c>
    </row>
    <row r="376" spans="1:44" x14ac:dyDescent="0.2">
      <c r="A376" s="29" t="s">
        <v>1593</v>
      </c>
      <c r="B376" s="32" t="s">
        <v>1594</v>
      </c>
      <c r="C376" s="29" t="s">
        <v>1595</v>
      </c>
      <c r="D376" s="1" t="str">
        <f t="shared" si="23"/>
        <v>Documents\GitHub\Ozon_upload\barcode\amazing pics\Термонаклейка Чёрный кот на закате у моря и цветов.pdf</v>
      </c>
      <c r="E376" s="29" t="str">
        <f>CONCATENATE("C:\Users\",username!A8,"\Documents\GitHub\Ozon_upload\DTF_images\tatyana\A4\set5\",C376,".tif")</f>
        <v>C:\Users\maxim\Documents\GitHub\Ozon_upload\DTF_images\tatyana\A4\set5\cat_sunset_yellow_poppy_vert.tif</v>
      </c>
      <c r="F376" s="29">
        <v>1</v>
      </c>
      <c r="G376" s="29">
        <v>1</v>
      </c>
      <c r="H376" s="29"/>
      <c r="I376" s="29" t="str">
        <f>"в"&amp;номер!A6</f>
        <v>в6</v>
      </c>
      <c r="J376" s="29"/>
      <c r="K376" s="29" t="s">
        <v>1075</v>
      </c>
      <c r="L376" s="29"/>
      <c r="M376" s="33" t="str">
        <f>HYPERLINK(CONCATENATE("C:\Users\", username2!A529, "\Documents\GitHub\Ozon_upload\DTF_images\tatyana\A4\set5\", C375, "_preview.jpg"),C375)</f>
        <v>cat_pink_head_closeup_vert</v>
      </c>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v>33</v>
      </c>
      <c r="AN376" s="29">
        <v>220</v>
      </c>
      <c r="AO376" s="29">
        <v>1</v>
      </c>
      <c r="AP376" s="29">
        <v>300</v>
      </c>
      <c r="AQ376" s="14" t="s">
        <v>623</v>
      </c>
      <c r="AR376" s="1" t="s">
        <v>1596</v>
      </c>
    </row>
    <row r="377" spans="1:44" x14ac:dyDescent="0.2">
      <c r="A377" s="29" t="s">
        <v>1597</v>
      </c>
      <c r="B377" s="32" t="s">
        <v>1598</v>
      </c>
      <c r="C377" s="29" t="s">
        <v>1599</v>
      </c>
      <c r="D377" s="1" t="str">
        <f t="shared" si="23"/>
        <v>Documents\GitHub\Ozon_upload\barcode\amazing pics\Термонаклейка Ловец снов акварель.pdf</v>
      </c>
      <c r="E377" s="29" t="str">
        <f>CONCATENATE("C:\Users\",username!A10,"\Documents\GitHub\Ozon_upload\DTF_images\tatyana\A4\set5\",C377,".tif")</f>
        <v>C:\Users\maxim\Documents\GitHub\Ozon_upload\DTF_images\tatyana\A4\set5\feathers_asd_vert.tif</v>
      </c>
      <c r="F377" s="29">
        <v>1</v>
      </c>
      <c r="G377" s="29">
        <v>1</v>
      </c>
      <c r="H377" s="29"/>
      <c r="I377" s="29" t="str">
        <f>"в"&amp;номер!A7</f>
        <v>в7</v>
      </c>
      <c r="J377" s="29"/>
      <c r="K377" s="29" t="s">
        <v>1075</v>
      </c>
      <c r="L377" s="29"/>
      <c r="M377" s="33" t="str">
        <f>HYPERLINK(CONCATENATE("C:\Users\", username2!A530, "\Documents\GitHub\Ozon_upload\DTF_images\tatyana\A4\set5\", C376, "_preview.jpg"),C376)</f>
        <v>cat_sunset_yellow_poppy_vert</v>
      </c>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v>33</v>
      </c>
      <c r="AN377" s="29">
        <v>220</v>
      </c>
      <c r="AO377" s="29">
        <v>1</v>
      </c>
      <c r="AP377" s="29">
        <v>300</v>
      </c>
      <c r="AQ377" s="14" t="s">
        <v>623</v>
      </c>
      <c r="AR377" s="1" t="s">
        <v>1600</v>
      </c>
    </row>
    <row r="378" spans="1:44" x14ac:dyDescent="0.2">
      <c r="A378" s="29" t="s">
        <v>1601</v>
      </c>
      <c r="B378" s="32" t="s">
        <v>1602</v>
      </c>
      <c r="C378" s="29" t="s">
        <v>1603</v>
      </c>
      <c r="D378" s="1" t="str">
        <f t="shared" si="23"/>
        <v>Documents\GitHub\Ozon_upload\barcode\amazing pics\Термонаклейка Девушка с галактической магией.pdf</v>
      </c>
      <c r="E378" s="29" t="str">
        <f>CONCATENATE("C:\Users\",username!A12,"\Documents\GitHub\Ozon_upload\DTF_images\tatyana\A4\set5\",C378,".tif")</f>
        <v>C:\Users\maxim\Documents\GitHub\Ozon_upload\DTF_images\tatyana\A4\set5\girl_eyes_magic_galaxy_vert.tif</v>
      </c>
      <c r="F378" s="29">
        <v>1</v>
      </c>
      <c r="G378" s="29">
        <v>1</v>
      </c>
      <c r="H378" s="29"/>
      <c r="I378" s="29" t="str">
        <f>"в"&amp;номер!A8</f>
        <v>в8</v>
      </c>
      <c r="J378" s="29"/>
      <c r="K378" s="29" t="s">
        <v>1075</v>
      </c>
      <c r="L378" s="29"/>
      <c r="M378" s="33" t="str">
        <f>HYPERLINK(CONCATENATE("C:\Users\", username2!A531, "\Documents\GitHub\Ozon_upload\DTF_images\tatyana\A4\set5\", C377, "_preview.jpg"),C377)</f>
        <v>feathers_asd_vert</v>
      </c>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v>33</v>
      </c>
      <c r="AN378" s="29">
        <v>220</v>
      </c>
      <c r="AO378" s="29">
        <v>1</v>
      </c>
      <c r="AP378" s="29">
        <v>300</v>
      </c>
      <c r="AQ378" s="14" t="s">
        <v>623</v>
      </c>
      <c r="AR378" s="1" t="s">
        <v>1604</v>
      </c>
    </row>
    <row r="379" spans="1:44" x14ac:dyDescent="0.2">
      <c r="A379" s="29" t="s">
        <v>1605</v>
      </c>
      <c r="B379" s="32" t="s">
        <v>1606</v>
      </c>
      <c r="C379" s="29" t="s">
        <v>1607</v>
      </c>
      <c r="D379" s="1" t="str">
        <f t="shared" si="23"/>
        <v>Documents\GitHub\Ozon_upload\barcode\amazing pics\Термонаклейка Девушка в цветах и золотом круге.pdf</v>
      </c>
      <c r="E379" s="29" t="str">
        <f>CONCATENATE("C:\Users\",username!A13,"\Documents\GitHub\Ozon_upload\DTF_images\tatyana\A4\set5\",C379,".tif")</f>
        <v>C:\Users\maxim\Documents\GitHub\Ozon_upload\DTF_images\tatyana\A4\set5\girl_flowers_sleeping_vert.tif</v>
      </c>
      <c r="F379" s="29">
        <v>1</v>
      </c>
      <c r="G379" s="29">
        <v>1</v>
      </c>
      <c r="H379" s="29"/>
      <c r="I379" s="29" t="str">
        <f>"в"&amp;номер!A9</f>
        <v>в9</v>
      </c>
      <c r="J379" s="29"/>
      <c r="K379" s="29" t="s">
        <v>1075</v>
      </c>
      <c r="L379" s="29"/>
      <c r="M379" s="33" t="str">
        <f>HYPERLINK(CONCATENATE("C:\Users\", username2!A532, "\Documents\GitHub\Ozon_upload\DTF_images\tatyana\A4\set5\", C378, "_preview.jpg"),C378)</f>
        <v>girl_eyes_magic_galaxy_vert</v>
      </c>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v>33</v>
      </c>
      <c r="AN379" s="29">
        <v>220</v>
      </c>
      <c r="AO379" s="29">
        <v>1</v>
      </c>
      <c r="AP379" s="29">
        <v>300</v>
      </c>
      <c r="AQ379" s="14" t="s">
        <v>623</v>
      </c>
      <c r="AR379" s="1" t="s">
        <v>1608</v>
      </c>
    </row>
    <row r="380" spans="1:44" x14ac:dyDescent="0.2">
      <c r="A380" s="29" t="s">
        <v>1609</v>
      </c>
      <c r="B380" s="32" t="s">
        <v>1610</v>
      </c>
      <c r="C380" s="29" t="s">
        <v>1611</v>
      </c>
      <c r="D380" s="1" t="str">
        <f t="shared" si="23"/>
        <v>Documents\GitHub\Ozon_upload\barcode\amazing pics\Термонаклейка Королева с бокалом игральная карта.pdf</v>
      </c>
      <c r="E380" s="29" t="str">
        <f>CONCATENATE("C:\Users\",username!A14,"\Documents\GitHub\Ozon_upload\DTF_images\tatyana\A4\set5\",C380,".tif")</f>
        <v>C:\Users\maxim\Documents\GitHub\Ozon_upload\DTF_images\tatyana\A4\set5\girl_wine_queen_pocker_vert.tif</v>
      </c>
      <c r="F380" s="29">
        <v>1</v>
      </c>
      <c r="G380" s="29">
        <v>1</v>
      </c>
      <c r="H380" s="29"/>
      <c r="I380" s="29" t="str">
        <f>"в"&amp;номер!A10</f>
        <v>в10</v>
      </c>
      <c r="J380" s="29"/>
      <c r="K380" s="29" t="s">
        <v>1075</v>
      </c>
      <c r="L380" s="29"/>
      <c r="M380" s="33" t="str">
        <f>HYPERLINK(CONCATENATE("C:\Users\", username2!A533, "\Documents\GitHub\Ozon_upload\DTF_images\tatyana\A4\set5\", C379, "_preview.jpg"),C379)</f>
        <v>girl_flowers_sleeping_vert</v>
      </c>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v>33</v>
      </c>
      <c r="AN380" s="29">
        <v>220</v>
      </c>
      <c r="AO380" s="29">
        <v>1</v>
      </c>
      <c r="AP380" s="29">
        <v>300</v>
      </c>
      <c r="AQ380" s="14" t="s">
        <v>623</v>
      </c>
      <c r="AR380" s="1" t="s">
        <v>1612</v>
      </c>
    </row>
    <row r="381" spans="1:44" x14ac:dyDescent="0.2">
      <c r="A381" s="29" t="s">
        <v>1613</v>
      </c>
      <c r="B381" s="32" t="s">
        <v>1614</v>
      </c>
      <c r="C381" s="29" t="s">
        <v>1615</v>
      </c>
      <c r="D381" s="1" t="str">
        <f t="shared" si="23"/>
        <v>Documents\GitHub\Ozon_upload\barcode\amazing pics\Термонаклейка Лошадь в космических красках.pdf</v>
      </c>
      <c r="E381" s="29" t="str">
        <f>CONCATENATE("C:\Users\",username!A15,"\Documents\GitHub\Ozon_upload\DTF_images\tatyana\A4\set5\",C381,".tif")</f>
        <v>C:\Users\maxim\Documents\GitHub\Ozon_upload\DTF_images\tatyana\A4\set5\horse_space_vert.tif</v>
      </c>
      <c r="F381" s="29">
        <v>1</v>
      </c>
      <c r="G381" s="29">
        <v>1</v>
      </c>
      <c r="H381" s="29"/>
      <c r="I381" s="29" t="str">
        <f>"в"&amp;номер!A11</f>
        <v>в11</v>
      </c>
      <c r="J381" s="29"/>
      <c r="K381" s="29" t="s">
        <v>1075</v>
      </c>
      <c r="L381" s="29"/>
      <c r="M381" s="33" t="str">
        <f>HYPERLINK(CONCATENATE("C:\Users\", username2!A534, "\Documents\GitHub\Ozon_upload\DTF_images\tatyana\A4\set5\", C380, "_preview.jpg"),C380)</f>
        <v>girl_wine_queen_pocker_vert</v>
      </c>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v>33</v>
      </c>
      <c r="AN381" s="29">
        <v>220</v>
      </c>
      <c r="AO381" s="29">
        <v>1</v>
      </c>
      <c r="AP381" s="29">
        <v>300</v>
      </c>
      <c r="AQ381" s="14" t="s">
        <v>623</v>
      </c>
      <c r="AR381" s="1" t="s">
        <v>1616</v>
      </c>
    </row>
    <row r="382" spans="1:44" x14ac:dyDescent="0.2">
      <c r="A382" s="29" t="s">
        <v>1617</v>
      </c>
      <c r="B382" s="32" t="s">
        <v>1618</v>
      </c>
      <c r="C382" s="29" t="s">
        <v>1619</v>
      </c>
      <c r="D382" s="1" t="str">
        <f t="shared" si="23"/>
        <v>Documents\GitHub\Ozon_upload\barcode\amazing pics\Термонаклейка Лошадь в золотых и мраморных тонах.pdf</v>
      </c>
      <c r="E382" s="29" t="str">
        <f>CONCATENATE("C:\Users\",username!A16,"\Documents\GitHub\Ozon_upload\DTF_images\tatyana\A4\set5\",C382,".tif")</f>
        <v>C:\Users\maxim\Documents\GitHub\Ozon_upload\DTF_images\tatyana\A4\set5\horse_white_gold_a_vert.tif</v>
      </c>
      <c r="F382" s="29">
        <v>1</v>
      </c>
      <c r="G382" s="29">
        <v>1</v>
      </c>
      <c r="H382" s="29"/>
      <c r="I382" s="29" t="str">
        <f>"в"&amp;номер!A12</f>
        <v>в12</v>
      </c>
      <c r="J382" s="29"/>
      <c r="K382" s="29" t="s">
        <v>1075</v>
      </c>
      <c r="L382" s="29"/>
      <c r="M382" s="33" t="str">
        <f>HYPERLINK(CONCATENATE("C:\Users\", username2!A535, "\Documents\GitHub\Ozon_upload\DTF_images\tatyana\A4\set5\", C381, "_preview.jpg"),C381)</f>
        <v>horse_space_vert</v>
      </c>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v>33</v>
      </c>
      <c r="AN382" s="29">
        <v>220</v>
      </c>
      <c r="AO382" s="29">
        <v>1</v>
      </c>
      <c r="AP382" s="29">
        <v>300</v>
      </c>
      <c r="AQ382" s="14" t="s">
        <v>623</v>
      </c>
      <c r="AR382" s="1" t="s">
        <v>1620</v>
      </c>
    </row>
    <row r="383" spans="1:44" x14ac:dyDescent="0.2">
      <c r="A383" s="29" t="s">
        <v>1621</v>
      </c>
      <c r="B383" s="32" t="s">
        <v>1622</v>
      </c>
      <c r="C383" s="29" t="s">
        <v>1623</v>
      </c>
      <c r="D383" s="1" t="str">
        <f t="shared" si="23"/>
        <v>Documents\GitHub\Ozon_upload\barcode\amazing pics\Термонаклейка Пара леопардов в ночной листве.pdf</v>
      </c>
      <c r="E383" s="29" t="str">
        <f>CONCATENATE("C:\Users\",username!A17,"\Documents\GitHub\Ozon_upload\DTF_images\tatyana\A4\set5\",C383,".tif")</f>
        <v>C:\Users\maxim\Documents\GitHub\Ozon_upload\DTF_images\tatyana\A4\set5\leopards_white_black_vert.tif</v>
      </c>
      <c r="F383" s="29">
        <v>1</v>
      </c>
      <c r="G383" s="29">
        <v>1</v>
      </c>
      <c r="H383" s="29"/>
      <c r="I383" s="29" t="str">
        <f>"в"&amp;номер!A13</f>
        <v>в13</v>
      </c>
      <c r="J383" s="29"/>
      <c r="K383" s="29" t="s">
        <v>1075</v>
      </c>
      <c r="L383" s="29"/>
      <c r="M383" s="33" t="str">
        <f>HYPERLINK(CONCATENATE("C:\Users\", username2!A536, "\Documents\GitHub\Ozon_upload\DTF_images\tatyana\A4\set5\", C382, "_preview.jpg"),C382)</f>
        <v>horse_white_gold_a_vert</v>
      </c>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v>33</v>
      </c>
      <c r="AN383" s="29">
        <v>220</v>
      </c>
      <c r="AO383" s="29">
        <v>1</v>
      </c>
      <c r="AP383" s="29">
        <v>300</v>
      </c>
      <c r="AQ383" s="14" t="s">
        <v>623</v>
      </c>
      <c r="AR383" s="1" t="s">
        <v>1624</v>
      </c>
    </row>
    <row r="384" spans="1:44" x14ac:dyDescent="0.2">
      <c r="A384" s="29" t="s">
        <v>1625</v>
      </c>
      <c r="B384" s="32" t="s">
        <v>1626</v>
      </c>
      <c r="C384" s="29" t="s">
        <v>1627</v>
      </c>
      <c r="D384" s="1" t="str">
        <f t="shared" si="23"/>
        <v>Documents\GitHub\Ozon_upload\barcode\amazing pics\Термонаклейка Золотой лев в изысканном узоре.pdf</v>
      </c>
      <c r="E384" s="29" t="str">
        <f>CONCATENATE("C:\Users\",username!A18,"\Documents\GitHub\Ozon_upload\DTF_images\tatyana\A4\set5\",C384,".tif")</f>
        <v>C:\Users\maxim\Documents\GitHub\Ozon_upload\DTF_images\tatyana\A4\set5\lion_gold_vert.tif</v>
      </c>
      <c r="F384" s="29">
        <v>1</v>
      </c>
      <c r="G384" s="29">
        <v>1</v>
      </c>
      <c r="H384" s="29"/>
      <c r="I384" s="29" t="str">
        <f>"в"&amp;номер!A14</f>
        <v>в14</v>
      </c>
      <c r="J384" s="29"/>
      <c r="K384" s="29" t="s">
        <v>1075</v>
      </c>
      <c r="L384" s="29"/>
      <c r="M384" s="33" t="str">
        <f>HYPERLINK(CONCATENATE("C:\Users\", username2!A537, "\Documents\GitHub\Ozon_upload\DTF_images\tatyana\A4\set5\", C383, "_preview.jpg"),C383)</f>
        <v>leopards_white_black_vert</v>
      </c>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v>33</v>
      </c>
      <c r="AN384" s="29">
        <v>220</v>
      </c>
      <c r="AO384" s="29">
        <v>1</v>
      </c>
      <c r="AP384" s="29">
        <v>300</v>
      </c>
      <c r="AQ384" s="14" t="s">
        <v>623</v>
      </c>
      <c r="AR384" s="1" t="s">
        <v>1628</v>
      </c>
    </row>
    <row r="385" spans="1:44" x14ac:dyDescent="0.2">
      <c r="A385" s="29" t="s">
        <v>1629</v>
      </c>
      <c r="B385" s="32" t="s">
        <v>1630</v>
      </c>
      <c r="C385" s="29" t="s">
        <v>1631</v>
      </c>
      <c r="D385" s="1" t="str">
        <f t="shared" si="23"/>
        <v>Documents\GitHub\Ozon_upload\barcode\amazing pics\Термонаклейка Синий лев с золотыми акцентами.pdf</v>
      </c>
      <c r="E385" s="29" t="str">
        <f>CONCATENATE("C:\Users\",username!A20,"\Documents\GitHub\Ozon_upload\DTF_images\tatyana\A4\set5\",C385,".tif")</f>
        <v>C:\Users\maxim\Documents\GitHub\Ozon_upload\DTF_images\tatyana\A4\set5\lion_vert.tif</v>
      </c>
      <c r="F385" s="29">
        <v>1</v>
      </c>
      <c r="G385" s="29">
        <v>1</v>
      </c>
      <c r="H385" s="29"/>
      <c r="I385" s="29" t="str">
        <f>"в"&amp;номер!A15</f>
        <v>в15</v>
      </c>
      <c r="J385" s="29"/>
      <c r="K385" s="29" t="s">
        <v>1075</v>
      </c>
      <c r="L385" s="29"/>
      <c r="M385" s="33" t="str">
        <f>HYPERLINK(CONCATENATE("C:\Users\", username2!A538, "\Documents\GitHub\Ozon_upload\DTF_images\tatyana\A4\set5\", C384, "_preview.jpg"),C384)</f>
        <v>lion_gold_vert</v>
      </c>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v>33</v>
      </c>
      <c r="AN385" s="29">
        <v>220</v>
      </c>
      <c r="AO385" s="29">
        <v>1</v>
      </c>
      <c r="AP385" s="29">
        <v>300</v>
      </c>
      <c r="AQ385" s="14" t="s">
        <v>623</v>
      </c>
      <c r="AR385" s="1" t="s">
        <v>1632</v>
      </c>
    </row>
    <row r="386" spans="1:44" x14ac:dyDescent="0.2">
      <c r="A386" s="29" t="s">
        <v>1633</v>
      </c>
      <c r="B386" s="32" t="s">
        <v>1634</v>
      </c>
      <c r="C386" s="29" t="s">
        <v>1635</v>
      </c>
      <c r="D386" s="1" t="str">
        <f t="shared" si="23"/>
        <v>Documents\GitHub\Ozon_upload\barcode\amazing pics\Термонаклейка Сова в цветах.pdf</v>
      </c>
      <c r="E386" s="29" t="str">
        <f>CONCATENATE("C:\Users\",username!A21,"\Documents\GitHub\Ozon_upload\DTF_images\tatyana\A4\set5\",C386,".tif")</f>
        <v>C:\Users\maxim\Documents\GitHub\Ozon_upload\DTF_images\tatyana\A4\set5\owl_vert.tif</v>
      </c>
      <c r="F386" s="29">
        <v>1</v>
      </c>
      <c r="G386" s="29">
        <v>1</v>
      </c>
      <c r="H386" s="29"/>
      <c r="I386" s="29" t="str">
        <f>"в"&amp;номер!A16</f>
        <v>в16</v>
      </c>
      <c r="J386" s="29"/>
      <c r="K386" s="29" t="s">
        <v>1075</v>
      </c>
      <c r="L386" s="29"/>
      <c r="M386" s="33" t="str">
        <f>HYPERLINK(CONCATENATE("C:\Users\", username2!A539, "\Documents\GitHub\Ozon_upload\DTF_images\tatyana\A4\set5\", C385, "_preview.jpg"),C385)</f>
        <v>lion_vert</v>
      </c>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v>33</v>
      </c>
      <c r="AN386" s="29">
        <v>220</v>
      </c>
      <c r="AO386" s="29">
        <v>1</v>
      </c>
      <c r="AP386" s="29">
        <v>300</v>
      </c>
      <c r="AQ386" s="14" t="s">
        <v>623</v>
      </c>
      <c r="AR386" s="1" t="s">
        <v>1636</v>
      </c>
    </row>
    <row r="387" spans="1:44" x14ac:dyDescent="0.2">
      <c r="A387" s="29" t="s">
        <v>1637</v>
      </c>
      <c r="B387" s="32" t="s">
        <v>1638</v>
      </c>
      <c r="C387" s="29" t="s">
        <v>1639</v>
      </c>
      <c r="D387" s="1" t="str">
        <f t="shared" si="23"/>
        <v>Documents\GitHub\Ozon_upload\barcode\amazing pics\Термонаклейка Карточная королева кричит.pdf</v>
      </c>
      <c r="E387" s="29" t="str">
        <f>CONCATENATE("C:\Users\",username!A22,"\Documents\GitHub\Ozon_upload\DTF_images\tatyana\A4\set5\",C387,".tif")</f>
        <v>C:\Users\maxim\Documents\GitHub\Ozon_upload\DTF_images\tatyana\A4\set5\queen_pocker_vert.tif</v>
      </c>
      <c r="F387" s="29">
        <v>1</v>
      </c>
      <c r="G387" s="29">
        <v>1</v>
      </c>
      <c r="H387" s="29"/>
      <c r="I387" s="29" t="str">
        <f>"в"&amp;номер!A17</f>
        <v>в17</v>
      </c>
      <c r="J387" s="29"/>
      <c r="K387" s="29" t="s">
        <v>1075</v>
      </c>
      <c r="L387" s="29"/>
      <c r="M387" s="33" t="str">
        <f>HYPERLINK(CONCATENATE("C:\Users\", username2!A540, "\Documents\GitHub\Ozon_upload\DTF_images\tatyana\A4\set5\", C386, "_preview.jpg"),C386)</f>
        <v>owl_vert</v>
      </c>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v>33</v>
      </c>
      <c r="AN387" s="29">
        <v>220</v>
      </c>
      <c r="AO387" s="29">
        <v>1</v>
      </c>
      <c r="AP387" s="29">
        <v>300</v>
      </c>
      <c r="AQ387" s="14" t="s">
        <v>623</v>
      </c>
      <c r="AR387" s="1" t="s">
        <v>1640</v>
      </c>
    </row>
    <row r="388" spans="1:44" x14ac:dyDescent="0.2">
      <c r="A388" s="29" t="s">
        <v>1641</v>
      </c>
      <c r="B388" s="32" t="s">
        <v>1642</v>
      </c>
      <c r="C388" s="29" t="s">
        <v>1643</v>
      </c>
      <c r="D388" s="1" t="str">
        <f t="shared" si="23"/>
        <v>Documents\GitHub\Ozon_upload\barcode\amazing pics\Термонаклейка Тигр с букетом жёлтых тюльпанов.pdf</v>
      </c>
      <c r="E388" s="29" t="str">
        <f>CONCATENATE("C:\Users\",username!A23,"\Documents\GitHub\Ozon_upload\DTF_images\tatyana\A4\set5\",C388,".tif")</f>
        <v>C:\Users\maxim\Documents\GitHub\Ozon_upload\DTF_images\tatyana\A4\set5\tiger_flowers_happy_vert.tif</v>
      </c>
      <c r="F388" s="29">
        <v>1</v>
      </c>
      <c r="G388" s="29">
        <v>1</v>
      </c>
      <c r="H388" s="29"/>
      <c r="I388" s="29" t="str">
        <f>"в"&amp;номер!A18</f>
        <v>в18</v>
      </c>
      <c r="J388" s="29"/>
      <c r="K388" s="29" t="s">
        <v>1075</v>
      </c>
      <c r="L388" s="29"/>
      <c r="M388" s="33" t="str">
        <f>HYPERLINK(CONCATENATE("C:\Users\", username2!A541, "\Documents\GitHub\Ozon_upload\DTF_images\tatyana\A4\set5\", C387, "_preview.jpg"),C387)</f>
        <v>queen_pocker_vert</v>
      </c>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v>33</v>
      </c>
      <c r="AN388" s="29">
        <v>220</v>
      </c>
      <c r="AO388" s="29">
        <v>1</v>
      </c>
      <c r="AP388" s="29">
        <v>300</v>
      </c>
      <c r="AQ388" s="14" t="s">
        <v>623</v>
      </c>
      <c r="AR388" s="1" t="s">
        <v>1644</v>
      </c>
    </row>
    <row r="389" spans="1:44" x14ac:dyDescent="0.2">
      <c r="A389" s="29" t="s">
        <v>1645</v>
      </c>
      <c r="B389" s="32" t="s">
        <v>1646</v>
      </c>
      <c r="C389" s="29" t="s">
        <v>1647</v>
      </c>
      <c r="D389" s="1" t="str">
        <f t="shared" si="23"/>
        <v>Documents\GitHub\Ozon_upload\barcode\amazing pics\Термонаклейка Тигр в витражном стиле.pdf</v>
      </c>
      <c r="E389" s="29" t="str">
        <f>CONCATENATE("C:\Users\",username!A24,"\Documents\GitHub\Ozon_upload\DTF_images\tatyana\A4\set5\",C389,".tif")</f>
        <v>C:\Users\maxim\Documents\GitHub\Ozon_upload\DTF_images\tatyana\A4\set5\tiger_glass_design_vert.tif</v>
      </c>
      <c r="F389" s="29">
        <v>1</v>
      </c>
      <c r="G389" s="29">
        <v>1</v>
      </c>
      <c r="H389" s="29"/>
      <c r="I389" s="29" t="str">
        <f>"в"&amp;номер!A19</f>
        <v>в19</v>
      </c>
      <c r="J389" s="29"/>
      <c r="K389" s="29" t="s">
        <v>1075</v>
      </c>
      <c r="L389" s="29"/>
      <c r="M389" s="33" t="str">
        <f>HYPERLINK(CONCATENATE("C:\Users\", username2!A542, "\Documents\GitHub\Ozon_upload\DTF_images\tatyana\A4\set5\", C388, "_preview.jpg"),C388)</f>
        <v>tiger_flowers_happy_vert</v>
      </c>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v>33</v>
      </c>
      <c r="AN389" s="29">
        <v>220</v>
      </c>
      <c r="AO389" s="29">
        <v>1</v>
      </c>
      <c r="AP389" s="29">
        <v>300</v>
      </c>
      <c r="AQ389" s="14" t="s">
        <v>623</v>
      </c>
      <c r="AR389" s="1" t="s">
        <v>1648</v>
      </c>
    </row>
    <row r="390" spans="1:44" x14ac:dyDescent="0.2">
      <c r="A390" s="29" t="s">
        <v>1649</v>
      </c>
      <c r="B390" s="32" t="s">
        <v>1650</v>
      </c>
      <c r="C390" s="29" t="s">
        <v>1651</v>
      </c>
      <c r="D390" s="1" t="str">
        <f t="shared" si="23"/>
        <v>Documents\GitHub\Ozon_upload\barcode\amazing pics\Термонаклейка Тигр спит среди тропических цветов.pdf</v>
      </c>
      <c r="E390" s="29" t="str">
        <f>CONCATENATE("C:\Users\",username!A26,"\Documents\GitHub\Ozon_upload\DTF_images\tatyana\A4\set5\",C390,".tif")</f>
        <v>C:\Users\maxim\Documents\GitHub\Ozon_upload\DTF_images\tatyana\A4\set5\tiger_sleeping_vert.tif</v>
      </c>
      <c r="F390" s="29">
        <v>1</v>
      </c>
      <c r="G390" s="29">
        <v>1</v>
      </c>
      <c r="H390" s="29"/>
      <c r="I390" s="29" t="str">
        <f>"в"&amp;номер!A20</f>
        <v>в20</v>
      </c>
      <c r="J390" s="29"/>
      <c r="K390" s="29" t="s">
        <v>1075</v>
      </c>
      <c r="L390" s="29"/>
      <c r="M390" s="33" t="str">
        <f>HYPERLINK(CONCATENATE("C:\Users\", username2!A543, "\Documents\GitHub\Ozon_upload\DTF_images\tatyana\A4\set5\", C389, "_preview.jpg"),C389)</f>
        <v>tiger_glass_design_vert</v>
      </c>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v>33</v>
      </c>
      <c r="AN390" s="29">
        <v>220</v>
      </c>
      <c r="AO390" s="29">
        <v>1</v>
      </c>
      <c r="AP390" s="29">
        <v>300</v>
      </c>
      <c r="AQ390" s="14" t="s">
        <v>623</v>
      </c>
      <c r="AR390" s="1" t="s">
        <v>1652</v>
      </c>
    </row>
    <row r="391" spans="1:44" x14ac:dyDescent="0.2">
      <c r="A391" s="29" t="s">
        <v>1653</v>
      </c>
      <c r="B391" s="32" t="s">
        <v>1654</v>
      </c>
      <c r="C391" s="29" t="s">
        <v>1655</v>
      </c>
      <c r="D391" s="1" t="str">
        <f t="shared" si="23"/>
        <v>Documents\GitHub\Ozon_upload\barcode\amazing pics\Термонаклейка Кит в голубых и розовых оттенках.pdf</v>
      </c>
      <c r="E391" s="29" t="str">
        <f>CONCATENATE("C:\Users\",username!A27,"\Documents\GitHub\Ozon_upload\DTF_images\tatyana\A4\set5\",C391,".tif")</f>
        <v>C:\Users\maxim\Documents\GitHub\Ozon_upload\DTF_images\tatyana\A4\set5\whale_a321_vert.tif</v>
      </c>
      <c r="F391" s="29">
        <v>1</v>
      </c>
      <c r="G391" s="29">
        <v>1</v>
      </c>
      <c r="H391" s="29"/>
      <c r="I391" s="29" t="str">
        <f>"в"&amp;номер!A21</f>
        <v>в21</v>
      </c>
      <c r="J391" s="29"/>
      <c r="K391" s="29" t="s">
        <v>1075</v>
      </c>
      <c r="L391" s="29"/>
      <c r="M391" s="33" t="str">
        <f>HYPERLINK(CONCATENATE("C:\Users\", username2!A544, "\Documents\GitHub\Ozon_upload\DTF_images\tatyana\A4\set5\", C390, "_preview.jpg"),C390)</f>
        <v>tiger_sleeping_vert</v>
      </c>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v>33</v>
      </c>
      <c r="AN391" s="29">
        <v>220</v>
      </c>
      <c r="AO391" s="29">
        <v>1</v>
      </c>
      <c r="AP391" s="29">
        <v>300</v>
      </c>
      <c r="AQ391" s="14" t="s">
        <v>623</v>
      </c>
      <c r="AR391" s="1" t="s">
        <v>1656</v>
      </c>
    </row>
    <row r="392" spans="1:44" x14ac:dyDescent="0.2">
      <c r="A392" s="29" t="s">
        <v>1657</v>
      </c>
      <c r="B392" s="32" t="s">
        <v>1658</v>
      </c>
      <c r="C392" s="29" t="s">
        <v>1659</v>
      </c>
      <c r="D392" s="1" t="str">
        <f t="shared" si="23"/>
        <v>Documents\GitHub\Ozon_upload\barcode\amazing pics\Термонаклейка Кит в золотом дизайне космос.pdf</v>
      </c>
      <c r="E392" s="29" t="str">
        <f>CONCATENATE("C:\Users\",username!A28,"\Documents\GitHub\Ozon_upload\DTF_images\tatyana\A4\set5\",C392,".tif")</f>
        <v>C:\Users\maxim\Documents\GitHub\Ozon_upload\DTF_images\tatyana\A4\set5\whale_gold_vert.tif</v>
      </c>
      <c r="F392" s="29">
        <v>1</v>
      </c>
      <c r="G392" s="29">
        <v>1</v>
      </c>
      <c r="H392" s="29"/>
      <c r="I392" s="29" t="str">
        <f>"в"&amp;номер!A22</f>
        <v>в22</v>
      </c>
      <c r="J392" s="29"/>
      <c r="K392" s="29" t="s">
        <v>1075</v>
      </c>
      <c r="L392" s="29"/>
      <c r="M392" s="33" t="str">
        <f>HYPERLINK(CONCATENATE("C:\Users\", username2!A545, "\Documents\GitHub\Ozon_upload\DTF_images\tatyana\A4\set5\", C391, "_preview.jpg"),C391)</f>
        <v>whale_a321_vert</v>
      </c>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v>33</v>
      </c>
      <c r="AN392" s="29">
        <v>220</v>
      </c>
      <c r="AO392" s="29">
        <v>1</v>
      </c>
      <c r="AP392" s="29">
        <v>300</v>
      </c>
      <c r="AQ392" s="14" t="s">
        <v>623</v>
      </c>
      <c r="AR392" s="1" t="s">
        <v>1660</v>
      </c>
    </row>
    <row r="393" spans="1:44" x14ac:dyDescent="0.2">
      <c r="A393" s="29" t="s">
        <v>1661</v>
      </c>
      <c r="B393" s="32" t="s">
        <v>1662</v>
      </c>
      <c r="C393" s="29" t="s">
        <v>1663</v>
      </c>
      <c r="D393" s="1" t="str">
        <f t="shared" si="23"/>
        <v>Documents\GitHub\Ozon_upload\barcode\amazing pics\Термонаклейка Маленький принц на синем ките.pdf</v>
      </c>
      <c r="E393" s="29" t="str">
        <f>CONCATENATE("C:\Users\",username!A29,"\Documents\GitHub\Ozon_upload\DTF_images\tatyana\A4\set5\",C393,".tif")</f>
        <v>C:\Users\maxim\Documents\GitHub\Ozon_upload\DTF_images\tatyana\A4\set5\whale_with_little_prince_vert.tif</v>
      </c>
      <c r="F393" s="29">
        <v>1</v>
      </c>
      <c r="G393" s="29">
        <v>1</v>
      </c>
      <c r="H393" s="29"/>
      <c r="I393" s="29" t="str">
        <f>"в"&amp;номер!A23</f>
        <v>в23</v>
      </c>
      <c r="J393" s="29"/>
      <c r="K393" s="29" t="s">
        <v>1075</v>
      </c>
      <c r="L393" s="29"/>
      <c r="M393" s="33" t="str">
        <f>HYPERLINK(CONCATENATE("C:\Users\", username2!A546, "\Documents\GitHub\Ozon_upload\DTF_images\tatyana\A4\set5\", C392, "_preview.jpg"),C392)</f>
        <v>whale_gold_vert</v>
      </c>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v>33</v>
      </c>
      <c r="AN393" s="29">
        <v>220</v>
      </c>
      <c r="AO393" s="29">
        <v>1</v>
      </c>
      <c r="AP393" s="29">
        <v>300</v>
      </c>
      <c r="AQ393" s="14" t="s">
        <v>623</v>
      </c>
      <c r="AR393" s="1" t="s">
        <v>1664</v>
      </c>
    </row>
    <row r="394" spans="1:44" x14ac:dyDescent="0.2">
      <c r="A394" s="29" t="s">
        <v>1665</v>
      </c>
      <c r="B394" s="32" t="s">
        <v>1666</v>
      </c>
      <c r="C394" s="29" t="s">
        <v>1667</v>
      </c>
      <c r="D394" s="1" t="str">
        <f t="shared" ref="D394:D457" si="25">CONCATENATE("Documents\GitHub\Ozon_upload\barcode\amazing pics\", A394, ".pdf")</f>
        <v>Documents\GitHub\Ozon_upload\barcode\amazing pics\Термонаклейка Белый волк с цветами и узорами.pdf</v>
      </c>
      <c r="E394" s="29" t="str">
        <f>CONCATENATE("C:\Users\",username!A30,"\Documents\GitHub\Ozon_upload\DTF_images\tatyana\A4\set5\",C394,".tif")</f>
        <v>C:\Users\maxim\Documents\GitHub\Ozon_upload\DTF_images\tatyana\A4\set5\wolf_girl_vert.tif</v>
      </c>
      <c r="F394" s="29">
        <v>1</v>
      </c>
      <c r="G394" s="29">
        <v>1</v>
      </c>
      <c r="H394" s="29"/>
      <c r="I394" s="29" t="str">
        <f>"в"&amp;номер!A24</f>
        <v>в24</v>
      </c>
      <c r="J394" s="29"/>
      <c r="K394" s="29" t="s">
        <v>1075</v>
      </c>
      <c r="L394" s="29"/>
      <c r="M394" s="33" t="str">
        <f>HYPERLINK(CONCATENATE("C:\Users\", username2!A547, "\Documents\GitHub\Ozon_upload\DTF_images\tatyana\A4\set5\", C393, "_preview.jpg"),C393)</f>
        <v>whale_with_little_prince_vert</v>
      </c>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v>33</v>
      </c>
      <c r="AN394" s="29">
        <v>220</v>
      </c>
      <c r="AO394" s="29">
        <v>1</v>
      </c>
      <c r="AP394" s="29">
        <v>300</v>
      </c>
      <c r="AQ394" s="14" t="s">
        <v>623</v>
      </c>
      <c r="AR394" s="1" t="s">
        <v>1668</v>
      </c>
    </row>
    <row r="395" spans="1:44" x14ac:dyDescent="0.2">
      <c r="A395" s="29" t="s">
        <v>1669</v>
      </c>
      <c r="B395" s="32" t="s">
        <v>1670</v>
      </c>
      <c r="C395" s="29" t="s">
        <v>1671</v>
      </c>
      <c r="D395" s="1" t="str">
        <f t="shared" si="25"/>
        <v>Documents\GitHub\Ozon_upload\barcode\amazing pics\Термонаклейка Чёрный волк красный луна.pdf</v>
      </c>
      <c r="E395" s="29" t="str">
        <f>CONCATENATE("C:\Users\",username!A31,"\Documents\GitHub\Ozon_upload\DTF_images\tatyana\A4\set5\",C395,".tif")</f>
        <v>C:\Users\maxim\Documents\GitHub\Ozon_upload\DTF_images\tatyana\A4\set5\wolf_red_sun_vert.tif</v>
      </c>
      <c r="F395" s="29">
        <v>1</v>
      </c>
      <c r="G395" s="29">
        <v>1</v>
      </c>
      <c r="H395" s="29"/>
      <c r="I395" s="29" t="str">
        <f>"в"&amp;номер!A25</f>
        <v>в25</v>
      </c>
      <c r="J395" s="29"/>
      <c r="K395" s="29" t="s">
        <v>1075</v>
      </c>
      <c r="L395" s="29"/>
      <c r="M395" s="33" t="str">
        <f>HYPERLINK(CONCATENATE("C:\Users\", username2!A548, "\Documents\GitHub\Ozon_upload\DTF_images\tatyana\A4\set5\", C394, "_preview.jpg"),C394)</f>
        <v>wolf_girl_vert</v>
      </c>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v>33</v>
      </c>
      <c r="AN395" s="29">
        <v>220</v>
      </c>
      <c r="AO395" s="29">
        <v>1</v>
      </c>
      <c r="AP395" s="29">
        <v>300</v>
      </c>
      <c r="AQ395" s="14" t="s">
        <v>623</v>
      </c>
      <c r="AR395" s="1" t="s">
        <v>1672</v>
      </c>
    </row>
    <row r="396" spans="1:44" ht="15" x14ac:dyDescent="0.25">
      <c r="A396" s="28" t="s">
        <v>1673</v>
      </c>
      <c r="B396" s="29" t="s">
        <v>1674</v>
      </c>
      <c r="C396" s="29" t="s">
        <v>1675</v>
      </c>
      <c r="D396" s="1" t="str">
        <f t="shared" si="25"/>
        <v>Documents\GitHub\Ozon_upload\barcode\amazing pics\Термонаклейка Цветы Магнолия белые Botanical.pdf</v>
      </c>
      <c r="E396" s="29" t="str">
        <f>CONCATENATE("C:\Users\",username!A1,"\Documents\GitHub\Ozon_upload\DTF_images\tatyana\A4\set3\",C396,".tif")</f>
        <v>C:\Users\maxim\Documents\GitHub\Ozon_upload\DTF_images\tatyana\A4\set3\202_vert.tif</v>
      </c>
      <c r="F396" s="29">
        <v>1</v>
      </c>
      <c r="G396" s="29">
        <v>1</v>
      </c>
      <c r="H396" s="29"/>
      <c r="I396" s="29" t="s">
        <v>1676</v>
      </c>
      <c r="J396" s="29"/>
      <c r="K396" s="29" t="s">
        <v>1075</v>
      </c>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v>33</v>
      </c>
      <c r="AN396" s="29">
        <v>220</v>
      </c>
      <c r="AO396" s="29">
        <v>1</v>
      </c>
      <c r="AP396" s="29">
        <v>300</v>
      </c>
      <c r="AQ396" s="14" t="s">
        <v>623</v>
      </c>
      <c r="AR396" s="1" t="s">
        <v>1677</v>
      </c>
    </row>
    <row r="397" spans="1:44" ht="15" x14ac:dyDescent="0.25">
      <c r="A397" s="31" t="s">
        <v>1678</v>
      </c>
      <c r="B397" s="29" t="s">
        <v>1679</v>
      </c>
      <c r="C397" s="29" t="s">
        <v>1680</v>
      </c>
      <c r="D397" s="1" t="str">
        <f t="shared" si="25"/>
        <v>Documents\GitHub\Ozon_upload\barcode\amazing pics\Термонаклейка Цветы Ирисы акварелью Синий.pdf</v>
      </c>
      <c r="E397" s="29" t="str">
        <f>CONCATENATE("C:\Users\",username!A2,"\Documents\GitHub\Ozon_upload\DTF_images\tatyana\A4\set3\",C397,".tif")</f>
        <v>C:\Users\maxim\Documents\GitHub\Ozon_upload\DTF_images\tatyana\A4\set3\204_vert.tif</v>
      </c>
      <c r="F397" s="29">
        <v>1</v>
      </c>
      <c r="G397" s="29">
        <v>1</v>
      </c>
      <c r="H397" s="29"/>
      <c r="I397" s="29" t="s">
        <v>1681</v>
      </c>
      <c r="J397" s="29"/>
      <c r="K397" s="29" t="s">
        <v>1075</v>
      </c>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v>33</v>
      </c>
      <c r="AN397" s="29">
        <v>220</v>
      </c>
      <c r="AO397" s="29">
        <v>1</v>
      </c>
      <c r="AP397" s="29">
        <v>300</v>
      </c>
      <c r="AQ397" s="14" t="s">
        <v>623</v>
      </c>
      <c r="AR397" s="1" t="s">
        <v>1682</v>
      </c>
    </row>
    <row r="398" spans="1:44" ht="15" x14ac:dyDescent="0.25">
      <c r="A398" s="28" t="s">
        <v>1683</v>
      </c>
      <c r="B398" s="29" t="s">
        <v>1684</v>
      </c>
      <c r="C398" s="29" t="s">
        <v>1685</v>
      </c>
      <c r="D398" s="1" t="str">
        <f t="shared" si="25"/>
        <v>Documents\GitHub\Ozon_upload\barcode\amazing pics\Термонаклейка Цветы Мак фиолетовый.pdf</v>
      </c>
      <c r="E398" s="29" t="str">
        <f>CONCATENATE("C:\Users\",username!A3,"\Documents\GitHub\Ozon_upload\DTF_images\tatyana\A4\set3\",C398,".tif")</f>
        <v>C:\Users\maxim\Documents\GitHub\Ozon_upload\DTF_images\tatyana\A4\set3\205_vert.tif</v>
      </c>
      <c r="F398" s="29">
        <v>1</v>
      </c>
      <c r="G398" s="29">
        <v>1</v>
      </c>
      <c r="H398" s="29"/>
      <c r="I398" s="29" t="s">
        <v>1686</v>
      </c>
      <c r="J398" s="29"/>
      <c r="K398" s="29" t="s">
        <v>1075</v>
      </c>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v>33</v>
      </c>
      <c r="AN398" s="29">
        <v>220</v>
      </c>
      <c r="AO398" s="29">
        <v>1</v>
      </c>
      <c r="AP398" s="29">
        <v>300</v>
      </c>
      <c r="AQ398" s="14" t="s">
        <v>623</v>
      </c>
      <c r="AR398" s="1" t="s">
        <v>1687</v>
      </c>
    </row>
    <row r="399" spans="1:44" ht="15" x14ac:dyDescent="0.25">
      <c r="A399" s="28" t="s">
        <v>1688</v>
      </c>
      <c r="B399" s="29" t="s">
        <v>1689</v>
      </c>
      <c r="C399" s="29" t="s">
        <v>1690</v>
      </c>
      <c r="D399" s="1" t="str">
        <f t="shared" si="25"/>
        <v>Documents\GitHub\Ozon_upload\barcode\amazing pics\Термонаклейка Цветы Магнолия 3шт розовые.pdf</v>
      </c>
      <c r="E399" s="29" t="str">
        <f>CONCATENATE("C:\Users\",username!A4,"\Documents\GitHub\Ozon_upload\DTF_images\tatyana\A4\set3\",C399,".tif")</f>
        <v>C:\Users\maxim\Documents\GitHub\Ozon_upload\DTF_images\tatyana\A4\set3\206_horiz.tif</v>
      </c>
      <c r="F399" s="29">
        <v>0</v>
      </c>
      <c r="G399" s="29">
        <v>1</v>
      </c>
      <c r="H399" s="29"/>
      <c r="I399" s="29" t="s">
        <v>1691</v>
      </c>
      <c r="J399" s="29"/>
      <c r="K399" s="29" t="s">
        <v>1075</v>
      </c>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v>33</v>
      </c>
      <c r="AN399" s="29">
        <v>220</v>
      </c>
      <c r="AO399" s="29">
        <v>1</v>
      </c>
      <c r="AP399" s="29">
        <v>300</v>
      </c>
      <c r="AQ399" s="14" t="s">
        <v>623</v>
      </c>
      <c r="AR399" s="1" t="s">
        <v>1692</v>
      </c>
    </row>
    <row r="400" spans="1:44" ht="15" x14ac:dyDescent="0.25">
      <c r="A400" s="28" t="s">
        <v>1693</v>
      </c>
      <c r="B400" s="29" t="s">
        <v>1694</v>
      </c>
      <c r="C400" s="29" t="s">
        <v>1695</v>
      </c>
      <c r="D400" s="1" t="str">
        <f t="shared" si="25"/>
        <v>Documents\GitHub\Ozon_upload\barcode\amazing pics\Термонаклейка Цветы Колибри 2шт.pdf</v>
      </c>
      <c r="E400" s="29" t="str">
        <f>CONCATENATE("C:\Users\",username!A5,"\Documents\GitHub\Ozon_upload\DTF_images\tatyana\A4\set3\",C400,".tif")</f>
        <v>C:\Users\maxim\Documents\GitHub\Ozon_upload\DTF_images\tatyana\A4\set3\208_vert.tif</v>
      </c>
      <c r="F400" s="29">
        <v>1</v>
      </c>
      <c r="G400" s="29">
        <v>1</v>
      </c>
      <c r="H400" s="29"/>
      <c r="I400" s="29" t="s">
        <v>1696</v>
      </c>
      <c r="J400" s="29"/>
      <c r="K400" s="29" t="s">
        <v>1075</v>
      </c>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v>33</v>
      </c>
      <c r="AN400" s="29">
        <v>220</v>
      </c>
      <c r="AO400" s="29">
        <v>1</v>
      </c>
      <c r="AP400" s="29">
        <v>300</v>
      </c>
      <c r="AQ400" s="14" t="s">
        <v>623</v>
      </c>
      <c r="AR400" s="1" t="s">
        <v>1697</v>
      </c>
    </row>
    <row r="401" spans="1:44" ht="15" x14ac:dyDescent="0.25">
      <c r="A401" s="28" t="s">
        <v>1698</v>
      </c>
      <c r="B401" s="29" t="s">
        <v>1699</v>
      </c>
      <c r="C401" s="29" t="s">
        <v>1700</v>
      </c>
      <c r="D401" s="1" t="str">
        <f t="shared" si="25"/>
        <v>Documents\GitHub\Ozon_upload\barcode\amazing pics\Термонаклейка Аист оранжевый круг.pdf</v>
      </c>
      <c r="E401" s="29" t="str">
        <f>CONCATENATE("C:\Users\",username!A6,"\Documents\GitHub\Ozon_upload\DTF_images\tatyana\A4\set3\",C401,".tif")</f>
        <v>C:\Users\maxim\Documents\GitHub\Ozon_upload\DTF_images\tatyana\A4\set3\209_vert.tif</v>
      </c>
      <c r="F401" s="29">
        <v>1</v>
      </c>
      <c r="G401" s="29">
        <v>1</v>
      </c>
      <c r="H401" s="29"/>
      <c r="I401" s="29" t="s">
        <v>1701</v>
      </c>
      <c r="J401" s="29"/>
      <c r="K401" s="29" t="s">
        <v>1075</v>
      </c>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v>33</v>
      </c>
      <c r="AN401" s="29">
        <v>220</v>
      </c>
      <c r="AO401" s="29">
        <v>1</v>
      </c>
      <c r="AP401" s="29">
        <v>300</v>
      </c>
      <c r="AQ401" s="14" t="s">
        <v>623</v>
      </c>
      <c r="AR401" s="1" t="s">
        <v>1702</v>
      </c>
    </row>
    <row r="402" spans="1:44" ht="15" x14ac:dyDescent="0.25">
      <c r="A402" s="28" t="s">
        <v>1703</v>
      </c>
      <c r="B402" s="29" t="s">
        <v>1704</v>
      </c>
      <c r="C402" s="29" t="s">
        <v>1705</v>
      </c>
      <c r="D402" s="1" t="str">
        <f t="shared" si="25"/>
        <v>Documents\GitHub\Ozon_upload\barcode\amazing pics\Термонаклейка Фламинго крупный план.pdf</v>
      </c>
      <c r="E402" s="29" t="str">
        <f>CONCATENATE("C:\Users\",username!A7,"\Documents\GitHub\Ozon_upload\DTF_images\tatyana\A4\set3\",C402,".tif")</f>
        <v>C:\Users\maxim\Documents\GitHub\Ozon_upload\DTF_images\tatyana\A4\set3\211_vert.tif</v>
      </c>
      <c r="F402" s="29">
        <v>1</v>
      </c>
      <c r="G402" s="29">
        <v>1</v>
      </c>
      <c r="H402" s="29"/>
      <c r="I402" s="29" t="s">
        <v>1706</v>
      </c>
      <c r="J402" s="29"/>
      <c r="K402" s="29" t="s">
        <v>1075</v>
      </c>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v>33</v>
      </c>
      <c r="AN402" s="29">
        <v>220</v>
      </c>
      <c r="AO402" s="29">
        <v>1</v>
      </c>
      <c r="AP402" s="29">
        <v>300</v>
      </c>
      <c r="AQ402" s="14" t="s">
        <v>623</v>
      </c>
      <c r="AR402" s="1" t="s">
        <v>1707</v>
      </c>
    </row>
    <row r="403" spans="1:44" ht="15" x14ac:dyDescent="0.25">
      <c r="A403" s="28" t="s">
        <v>1708</v>
      </c>
      <c r="B403" s="29" t="s">
        <v>1709</v>
      </c>
      <c r="C403" s="29" t="s">
        <v>1710</v>
      </c>
      <c r="D403" s="1" t="str">
        <f t="shared" si="25"/>
        <v>Documents\GitHub\Ozon_upload\barcode\amazing pics\Термонаклейка Цветы Пионы розовый Peonies.pdf</v>
      </c>
      <c r="E403" s="29" t="str">
        <f>CONCATENATE("C:\Users\",username!A8,"\Documents\GitHub\Ozon_upload\DTF_images\tatyana\A4\set3\",C403,".tif")</f>
        <v>C:\Users\maxim\Documents\GitHub\Ozon_upload\DTF_images\tatyana\A4\set3\203_vert.tif</v>
      </c>
      <c r="F403" s="29">
        <v>1</v>
      </c>
      <c r="G403" s="29">
        <v>1</v>
      </c>
      <c r="H403" s="29"/>
      <c r="I403" s="29" t="s">
        <v>1711</v>
      </c>
      <c r="J403" s="29"/>
      <c r="K403" s="29" t="s">
        <v>1075</v>
      </c>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v>33</v>
      </c>
      <c r="AN403" s="29">
        <v>220</v>
      </c>
      <c r="AO403" s="29">
        <v>1</v>
      </c>
      <c r="AP403" s="29">
        <v>300</v>
      </c>
      <c r="AQ403" s="14" t="s">
        <v>623</v>
      </c>
      <c r="AR403" s="1" t="s">
        <v>1712</v>
      </c>
    </row>
    <row r="404" spans="1:44" ht="15" x14ac:dyDescent="0.25">
      <c r="A404" s="28" t="s">
        <v>1713</v>
      </c>
      <c r="B404" s="29" t="s">
        <v>1714</v>
      </c>
      <c r="C404" s="29" t="s">
        <v>1715</v>
      </c>
      <c r="D404" s="1" t="str">
        <f t="shared" si="25"/>
        <v>Documents\GitHub\Ozon_upload\barcode\amazing pics\Термонаклейка Цветы Тюльпаны 3шт розовые.pdf</v>
      </c>
      <c r="E404" s="29" t="str">
        <f>CONCATENATE("C:\Users\",username!A9,"\Documents\GitHub\Ozon_upload\DTF_images\tatyana\A4\set3\",C404,".tif")</f>
        <v>C:\Users\maxim\Documents\GitHub\Ozon_upload\DTF_images\tatyana\A4\set3\207_vert.tif</v>
      </c>
      <c r="F404" s="29">
        <v>1</v>
      </c>
      <c r="G404" s="29">
        <v>1</v>
      </c>
      <c r="H404" s="29"/>
      <c r="I404" s="29" t="s">
        <v>1716</v>
      </c>
      <c r="J404" s="29"/>
      <c r="K404" s="29" t="s">
        <v>1075</v>
      </c>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v>33</v>
      </c>
      <c r="AN404" s="29">
        <v>220</v>
      </c>
      <c r="AO404" s="29">
        <v>1</v>
      </c>
      <c r="AP404" s="29">
        <v>300</v>
      </c>
      <c r="AQ404" s="14" t="s">
        <v>623</v>
      </c>
      <c r="AR404" s="1" t="s">
        <v>1717</v>
      </c>
    </row>
    <row r="405" spans="1:44" ht="15" x14ac:dyDescent="0.25">
      <c r="A405" s="28" t="s">
        <v>1718</v>
      </c>
      <c r="B405" s="29" t="s">
        <v>1719</v>
      </c>
      <c r="C405" s="29" t="s">
        <v>1720</v>
      </c>
      <c r="D405" s="1" t="str">
        <f t="shared" si="25"/>
        <v>Documents\GitHub\Ozon_upload\barcode\amazing pics\Термонаклейка Цветы Тюльпаны 5шт белые.pdf</v>
      </c>
      <c r="E405" s="29" t="str">
        <f>CONCATENATE("C:\Users\",username!A10,"\Documents\GitHub\Ozon_upload\DTF_images\tatyana\A4\set3\",C405,".tif")</f>
        <v>C:\Users\maxim\Documents\GitHub\Ozon_upload\DTF_images\tatyana\A4\set3\210_vert.tif</v>
      </c>
      <c r="F405" s="29">
        <v>1</v>
      </c>
      <c r="G405" s="29">
        <v>1</v>
      </c>
      <c r="H405" s="29"/>
      <c r="I405" s="29" t="s">
        <v>1721</v>
      </c>
      <c r="J405" s="29"/>
      <c r="K405" s="29" t="s">
        <v>1075</v>
      </c>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v>33</v>
      </c>
      <c r="AN405" s="29">
        <v>220</v>
      </c>
      <c r="AO405" s="29">
        <v>1</v>
      </c>
      <c r="AP405" s="29">
        <v>300</v>
      </c>
      <c r="AQ405" s="14" t="s">
        <v>623</v>
      </c>
      <c r="AR405" s="1" t="s">
        <v>1722</v>
      </c>
    </row>
    <row r="406" spans="1:44" ht="15" x14ac:dyDescent="0.25">
      <c r="A406" s="28" t="s">
        <v>1723</v>
      </c>
      <c r="B406" s="29" t="s">
        <v>1724</v>
      </c>
      <c r="C406" s="29" t="s">
        <v>1725</v>
      </c>
      <c r="D406" s="1" t="str">
        <f t="shared" si="25"/>
        <v>Documents\GitHub\Ozon_upload\barcode\amazing pics\Термонаклейка Девушка с колибри роза кольцо.pdf</v>
      </c>
      <c r="E406" s="29" t="str">
        <f>CONCATENATE("C:\Users\",username!A11,"\Documents\GitHub\Ozon_upload\DTF_images\tatyana\A4\set3\",C406,".tif")</f>
        <v>C:\Users\maxim\Documents\GitHub\Ozon_upload\DTF_images\tatyana\A4\set3\212_vert.tif</v>
      </c>
      <c r="F406" s="29">
        <v>1</v>
      </c>
      <c r="G406" s="29">
        <v>1</v>
      </c>
      <c r="H406" s="29"/>
      <c r="I406" s="29" t="s">
        <v>1726</v>
      </c>
      <c r="J406" s="29"/>
      <c r="K406" s="29" t="s">
        <v>1075</v>
      </c>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v>33</v>
      </c>
      <c r="AN406" s="29">
        <v>220</v>
      </c>
      <c r="AO406" s="29">
        <v>1</v>
      </c>
      <c r="AP406" s="29">
        <v>300</v>
      </c>
      <c r="AQ406" s="14" t="s">
        <v>623</v>
      </c>
      <c r="AR406" s="1" t="s">
        <v>1727</v>
      </c>
    </row>
    <row r="407" spans="1:44" ht="15" x14ac:dyDescent="0.25">
      <c r="A407" s="28" t="s">
        <v>1728</v>
      </c>
      <c r="B407" s="29" t="s">
        <v>1729</v>
      </c>
      <c r="C407" s="29" t="s">
        <v>1730</v>
      </c>
      <c r="D407" s="1" t="str">
        <f t="shared" si="25"/>
        <v>Documents\GitHub\Ozon_upload\barcode\amazing pics\Термонаклейка Чайка силует море внутри.pdf</v>
      </c>
      <c r="E407" s="29" t="str">
        <f>CONCATENATE("C:\Users\",username!A12,"\Documents\GitHub\Ozon_upload\DTF_images\tatyana\A4\set3\",C407,".tif")</f>
        <v>C:\Users\maxim\Documents\GitHub\Ozon_upload\DTF_images\tatyana\A4\set3\213_vert.tif</v>
      </c>
      <c r="F407" s="29">
        <v>1</v>
      </c>
      <c r="G407" s="29">
        <v>1</v>
      </c>
      <c r="H407" s="29"/>
      <c r="I407" s="29" t="s">
        <v>1731</v>
      </c>
      <c r="J407" s="29"/>
      <c r="K407" s="29" t="s">
        <v>1075</v>
      </c>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v>33</v>
      </c>
      <c r="AN407" s="29">
        <v>220</v>
      </c>
      <c r="AO407" s="29">
        <v>1</v>
      </c>
      <c r="AP407" s="29">
        <v>300</v>
      </c>
      <c r="AQ407" s="14" t="s">
        <v>623</v>
      </c>
      <c r="AR407" s="1" t="s">
        <v>1732</v>
      </c>
    </row>
    <row r="408" spans="1:44" ht="15" x14ac:dyDescent="0.25">
      <c r="A408" s="28" t="s">
        <v>1733</v>
      </c>
      <c r="B408" s="29" t="s">
        <v>1734</v>
      </c>
      <c r="C408" s="29" t="s">
        <v>1735</v>
      </c>
      <c r="D408" s="1" t="str">
        <f t="shared" si="25"/>
        <v>Documents\GitHub\Ozon_upload\barcode\amazing pics\Термонаклейка Матрешка с хлебом.pdf</v>
      </c>
      <c r="E408" s="29" t="str">
        <f>CONCATENATE("C:\Users\",username!A13,"\Documents\GitHub\Ozon_upload\DTF_images\tatyana\A4\set3\",C408,".tif")</f>
        <v>C:\Users\maxim\Documents\GitHub\Ozon_upload\DTF_images\tatyana\A4\set3\214_vert.tif</v>
      </c>
      <c r="F408" s="29">
        <v>1</v>
      </c>
      <c r="G408" s="29">
        <v>1</v>
      </c>
      <c r="H408" s="29"/>
      <c r="I408" s="29" t="s">
        <v>1736</v>
      </c>
      <c r="J408" s="29"/>
      <c r="K408" s="29" t="s">
        <v>1075</v>
      </c>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v>33</v>
      </c>
      <c r="AN408" s="29">
        <v>220</v>
      </c>
      <c r="AO408" s="29">
        <v>1</v>
      </c>
      <c r="AP408" s="29">
        <v>300</v>
      </c>
      <c r="AQ408" s="14" t="s">
        <v>623</v>
      </c>
      <c r="AR408" s="1" t="s">
        <v>1737</v>
      </c>
    </row>
    <row r="409" spans="1:44" ht="15" x14ac:dyDescent="0.25">
      <c r="A409" s="28" t="s">
        <v>1738</v>
      </c>
      <c r="B409" s="29" t="s">
        <v>1739</v>
      </c>
      <c r="C409" s="29" t="s">
        <v>1740</v>
      </c>
      <c r="D409" s="1" t="str">
        <f t="shared" si="25"/>
        <v>Documents\GitHub\Ozon_upload\barcode\amazing pics\Термонаклейка Попугаи 2шт зеленый и желтый.pdf</v>
      </c>
      <c r="E409" s="29" t="str">
        <f>CONCATENATE("C:\Users\",username!A14,"\Documents\GitHub\Ozon_upload\DTF_images\tatyana\A4\set3\",C409,".tif")</f>
        <v>C:\Users\maxim\Documents\GitHub\Ozon_upload\DTF_images\tatyana\A4\set3\215_vert.tif</v>
      </c>
      <c r="F409" s="29">
        <v>1</v>
      </c>
      <c r="G409" s="29">
        <v>1</v>
      </c>
      <c r="H409" s="29"/>
      <c r="I409" s="29" t="s">
        <v>1741</v>
      </c>
      <c r="J409" s="29"/>
      <c r="K409" s="29" t="s">
        <v>1075</v>
      </c>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v>33</v>
      </c>
      <c r="AN409" s="29">
        <v>220</v>
      </c>
      <c r="AO409" s="29">
        <v>1</v>
      </c>
      <c r="AP409" s="29">
        <v>300</v>
      </c>
      <c r="AQ409" s="14" t="s">
        <v>623</v>
      </c>
      <c r="AR409" s="1" t="s">
        <v>1742</v>
      </c>
    </row>
    <row r="410" spans="1:44" ht="15" x14ac:dyDescent="0.25">
      <c r="A410" s="28" t="s">
        <v>1743</v>
      </c>
      <c r="B410" s="29" t="s">
        <v>1744</v>
      </c>
      <c r="C410" s="29" t="s">
        <v>1745</v>
      </c>
      <c r="D410" s="1" t="str">
        <f t="shared" si="25"/>
        <v>Documents\GitHub\Ozon_upload\barcode\amazing pics\Термонаклейка Матрешка Moscow.pdf</v>
      </c>
      <c r="E410" s="29" t="str">
        <f>CONCATENATE("C:\Users\",username!A15,"\Documents\GitHub\Ozon_upload\DTF_images\tatyana\A4\set3\",C410,".tif")</f>
        <v>C:\Users\maxim\Documents\GitHub\Ozon_upload\DTF_images\tatyana\A4\set3\216_vert.tif</v>
      </c>
      <c r="F410" s="29">
        <v>1</v>
      </c>
      <c r="G410" s="29">
        <v>1</v>
      </c>
      <c r="H410" s="29"/>
      <c r="I410" s="29" t="s">
        <v>1746</v>
      </c>
      <c r="J410" s="29"/>
      <c r="K410" s="29" t="s">
        <v>1075</v>
      </c>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v>33</v>
      </c>
      <c r="AN410" s="29">
        <v>220</v>
      </c>
      <c r="AO410" s="29">
        <v>1</v>
      </c>
      <c r="AP410" s="29">
        <v>300</v>
      </c>
      <c r="AQ410" s="14" t="s">
        <v>623</v>
      </c>
      <c r="AR410" s="1" t="s">
        <v>1747</v>
      </c>
    </row>
    <row r="411" spans="1:44" ht="15" x14ac:dyDescent="0.25">
      <c r="A411" s="28" t="s">
        <v>1748</v>
      </c>
      <c r="B411" s="29" t="s">
        <v>1749</v>
      </c>
      <c r="C411" s="29" t="s">
        <v>1750</v>
      </c>
      <c r="D411" s="1" t="str">
        <f t="shared" si="25"/>
        <v>Documents\GitHub\Ozon_upload\barcode\amazing pics\Термонаклейка Девушка с фламинго.pdf</v>
      </c>
      <c r="E411" s="29" t="str">
        <f>CONCATENATE("C:\Users\",username!A16,"\Documents\GitHub\Ozon_upload\DTF_images\tatyana\A4\set3\",C411,".tif")</f>
        <v>C:\Users\maxim\Documents\GitHub\Ozon_upload\DTF_images\tatyana\A4\set3\217_vert.tif</v>
      </c>
      <c r="F411" s="29">
        <v>1</v>
      </c>
      <c r="G411" s="29">
        <v>1</v>
      </c>
      <c r="H411" s="29"/>
      <c r="I411" s="29" t="s">
        <v>1751</v>
      </c>
      <c r="J411" s="29"/>
      <c r="K411" s="29" t="s">
        <v>1075</v>
      </c>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v>33</v>
      </c>
      <c r="AN411" s="29">
        <v>220</v>
      </c>
      <c r="AO411" s="29">
        <v>1</v>
      </c>
      <c r="AP411" s="29">
        <v>300</v>
      </c>
      <c r="AQ411" s="14" t="s">
        <v>623</v>
      </c>
      <c r="AR411" s="1" t="s">
        <v>1752</v>
      </c>
    </row>
    <row r="412" spans="1:44" ht="15" x14ac:dyDescent="0.25">
      <c r="A412" s="28" t="s">
        <v>1753</v>
      </c>
      <c r="B412" s="29" t="s">
        <v>1754</v>
      </c>
      <c r="C412" s="29" t="s">
        <v>1755</v>
      </c>
      <c r="D412" s="1" t="str">
        <f t="shared" si="25"/>
        <v>Documents\GitHub\Ozon_upload\barcode\amazing pics\Термонаклейка Цветы Пионы красные Pionies.pdf</v>
      </c>
      <c r="E412" s="29" t="str">
        <f>CONCATENATE("C:\Users\",username!A17,"\Documents\GitHub\Ozon_upload\DTF_images\tatyana\A4\set3\",C412,".tif")</f>
        <v>C:\Users\maxim\Documents\GitHub\Ozon_upload\DTF_images\tatyana\A4\set3\218_vert.tif</v>
      </c>
      <c r="F412" s="29">
        <v>1</v>
      </c>
      <c r="G412" s="29">
        <v>1</v>
      </c>
      <c r="H412" s="29"/>
      <c r="I412" s="29" t="s">
        <v>1756</v>
      </c>
      <c r="J412" s="29"/>
      <c r="K412" s="29" t="s">
        <v>1075</v>
      </c>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v>33</v>
      </c>
      <c r="AN412" s="29">
        <v>220</v>
      </c>
      <c r="AO412" s="29">
        <v>1</v>
      </c>
      <c r="AP412" s="29">
        <v>300</v>
      </c>
      <c r="AQ412" s="14" t="s">
        <v>623</v>
      </c>
      <c r="AR412" s="1" t="s">
        <v>1757</v>
      </c>
    </row>
    <row r="413" spans="1:44" ht="15" x14ac:dyDescent="0.25">
      <c r="A413" s="28" t="s">
        <v>1758</v>
      </c>
      <c r="B413" s="29" t="s">
        <v>1759</v>
      </c>
      <c r="C413" s="29" t="s">
        <v>1760</v>
      </c>
      <c r="D413" s="1" t="str">
        <f t="shared" si="25"/>
        <v>Documents\GitHub\Ozon_upload\barcode\amazing pics\Термонаклейка Цветы Магнолия фиолетовая Garden.pdf</v>
      </c>
      <c r="E413" s="29" t="str">
        <f>CONCATENATE("C:\Users\",username!A18,"\Documents\GitHub\Ozon_upload\DTF_images\tatyana\A4\set3\",C413,".tif")</f>
        <v>C:\Users\maxim\Documents\GitHub\Ozon_upload\DTF_images\tatyana\A4\set3\219_vert.tif</v>
      </c>
      <c r="F413" s="29">
        <v>1</v>
      </c>
      <c r="G413" s="29">
        <v>1</v>
      </c>
      <c r="H413" s="29"/>
      <c r="I413" s="29" t="s">
        <v>1761</v>
      </c>
      <c r="J413" s="29"/>
      <c r="K413" s="29" t="s">
        <v>1075</v>
      </c>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v>33</v>
      </c>
      <c r="AN413" s="29">
        <v>220</v>
      </c>
      <c r="AO413" s="29">
        <v>1</v>
      </c>
      <c r="AP413" s="29">
        <v>300</v>
      </c>
      <c r="AQ413" s="14" t="s">
        <v>623</v>
      </c>
      <c r="AR413" s="1" t="s">
        <v>1762</v>
      </c>
    </row>
    <row r="414" spans="1:44" ht="15" x14ac:dyDescent="0.25">
      <c r="A414" s="28" t="s">
        <v>1763</v>
      </c>
      <c r="B414" s="29" t="s">
        <v>1764</v>
      </c>
      <c r="C414" s="29" t="s">
        <v>1765</v>
      </c>
      <c r="D414" s="1" t="str">
        <f t="shared" si="25"/>
        <v>Documents\GitHub\Ozon_upload\barcode\amazing pics\Термонаклейка Цветы Розовые Spring Blossoms.pdf</v>
      </c>
      <c r="E414" s="29" t="str">
        <f>CONCATENATE("C:\Users\",username!A19,"\Documents\GitHub\Ozon_upload\DTF_images\tatyana\A4\set3\",C414,".tif")</f>
        <v>C:\Users\maxim\Documents\GitHub\Ozon_upload\DTF_images\tatyana\A4\set3\220_vert.tif</v>
      </c>
      <c r="F414" s="29">
        <v>1</v>
      </c>
      <c r="G414" s="29">
        <v>1</v>
      </c>
      <c r="H414" s="29"/>
      <c r="I414" s="29" t="s">
        <v>1766</v>
      </c>
      <c r="J414" s="29"/>
      <c r="K414" s="29" t="s">
        <v>1075</v>
      </c>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v>33</v>
      </c>
      <c r="AN414" s="29">
        <v>220</v>
      </c>
      <c r="AO414" s="29">
        <v>1</v>
      </c>
      <c r="AP414" s="29">
        <v>300</v>
      </c>
      <c r="AQ414" s="14" t="s">
        <v>623</v>
      </c>
      <c r="AR414" s="1" t="s">
        <v>1767</v>
      </c>
    </row>
    <row r="415" spans="1:44" ht="15" x14ac:dyDescent="0.25">
      <c r="A415" s="28" t="s">
        <v>1768</v>
      </c>
      <c r="B415" s="29" t="s">
        <v>1769</v>
      </c>
      <c r="C415" s="29" t="s">
        <v>1770</v>
      </c>
      <c r="D415" s="1" t="str">
        <f t="shared" si="25"/>
        <v>Documents\GitHub\Ozon_upload\barcode\amazing pics\Термонаклейка Бабочки 4шт небо внутри.pdf</v>
      </c>
      <c r="E415" s="29" t="str">
        <f>CONCATENATE("C:\Users\",username!A20,"\Documents\GitHub\Ozon_upload\DTF_images\tatyana\A4\set3\",C415,".tif")</f>
        <v>C:\Users\maxim\Documents\GitHub\Ozon_upload\DTF_images\tatyana\A4\set3\221_vert.tif</v>
      </c>
      <c r="F415" s="29">
        <v>1</v>
      </c>
      <c r="G415" s="29">
        <v>1</v>
      </c>
      <c r="H415" s="29"/>
      <c r="I415" s="29" t="s">
        <v>1771</v>
      </c>
      <c r="J415" s="29"/>
      <c r="K415" s="29" t="s">
        <v>1075</v>
      </c>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v>33</v>
      </c>
      <c r="AN415" s="29">
        <v>220</v>
      </c>
      <c r="AO415" s="29">
        <v>1</v>
      </c>
      <c r="AP415" s="29">
        <v>300</v>
      </c>
      <c r="AQ415" s="14" t="s">
        <v>623</v>
      </c>
      <c r="AR415" s="1" t="s">
        <v>1772</v>
      </c>
    </row>
    <row r="416" spans="1:44" ht="15" x14ac:dyDescent="0.25">
      <c r="A416" s="28" t="s">
        <v>1773</v>
      </c>
      <c r="B416" s="29" t="s">
        <v>1774</v>
      </c>
      <c r="C416" s="29" t="s">
        <v>1775</v>
      </c>
      <c r="D416" s="1" t="str">
        <f t="shared" si="25"/>
        <v>Documents\GitHub\Ozon_upload\barcode\amazing pics\Термонаклейка Пантера силует внутри цветы.pdf</v>
      </c>
      <c r="E416" s="29" t="str">
        <f>CONCATENATE("C:\Users\",username!A21,"\Documents\GitHub\Ozon_upload\DTF_images\tatyana\A4\set3\",C416,".tif")</f>
        <v>C:\Users\maxim\Documents\GitHub\Ozon_upload\DTF_images\tatyana\A4\set3\222_vert.tif</v>
      </c>
      <c r="F416" s="29">
        <v>1</v>
      </c>
      <c r="G416" s="29">
        <v>1</v>
      </c>
      <c r="H416" s="29"/>
      <c r="I416" s="29" t="s">
        <v>1776</v>
      </c>
      <c r="J416" s="29"/>
      <c r="K416" s="29" t="s">
        <v>1075</v>
      </c>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v>33</v>
      </c>
      <c r="AN416" s="29">
        <v>220</v>
      </c>
      <c r="AO416" s="29">
        <v>1</v>
      </c>
      <c r="AP416" s="29">
        <v>300</v>
      </c>
      <c r="AQ416" s="14" t="s">
        <v>623</v>
      </c>
      <c r="AR416" s="1" t="s">
        <v>1777</v>
      </c>
    </row>
    <row r="417" spans="1:44" ht="15" x14ac:dyDescent="0.25">
      <c r="A417" s="31" t="s">
        <v>1778</v>
      </c>
      <c r="B417" s="29" t="s">
        <v>1779</v>
      </c>
      <c r="C417" s="29" t="s">
        <v>1780</v>
      </c>
      <c r="D417" s="1" t="str">
        <f t="shared" si="25"/>
        <v>Documents\GitHub\Ozon_upload\barcode\amazing pics\Термонаклейка Бабочка синяя Blue butterfly.pdf</v>
      </c>
      <c r="E417" s="29" t="str">
        <f>CONCATENATE("C:\Users\",username!A1,"\Documents\GitHub\Ozon_upload\DTF_images\tatyana\A4\set4\",C417,".tif")</f>
        <v>C:\Users\maxim\Documents\GitHub\Ozon_upload\DTF_images\tatyana\A4\set4\blue_butterfly.tif</v>
      </c>
      <c r="F417" s="29">
        <v>1</v>
      </c>
      <c r="G417" s="29">
        <v>1</v>
      </c>
      <c r="H417" s="29"/>
      <c r="I417" s="29" t="s">
        <v>1781</v>
      </c>
      <c r="J417" s="29"/>
      <c r="K417" s="29" t="s">
        <v>1075</v>
      </c>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v>33</v>
      </c>
      <c r="AN417" s="29">
        <v>220</v>
      </c>
      <c r="AO417" s="29">
        <v>1</v>
      </c>
      <c r="AP417" s="29">
        <v>300</v>
      </c>
      <c r="AQ417" s="14" t="s">
        <v>623</v>
      </c>
      <c r="AR417" s="1" t="s">
        <v>1782</v>
      </c>
    </row>
    <row r="418" spans="1:44" ht="15" x14ac:dyDescent="0.25">
      <c r="A418" s="31" t="s">
        <v>1783</v>
      </c>
      <c r="B418" s="29" t="s">
        <v>1784</v>
      </c>
      <c r="C418" s="29" t="s">
        <v>1785</v>
      </c>
      <c r="D418" s="1" t="str">
        <f t="shared" si="25"/>
        <v>Documents\GitHub\Ozon_upload\barcode\amazing pics\Термонаклейка Бабочка зеленная листья.pdf</v>
      </c>
      <c r="E418" s="29" t="str">
        <f>CONCATENATE("C:\Users\",username!A2,"\Documents\GitHub\Ozon_upload\DTF_images\tatyana\A4\set4\",C418,".tif")</f>
        <v>C:\Users\maxim\Documents\GitHub\Ozon_upload\DTF_images\tatyana\A4\set4\butterfly_green_leaves_vert_1.tif</v>
      </c>
      <c r="F418" s="29">
        <v>1</v>
      </c>
      <c r="G418" s="29">
        <v>1</v>
      </c>
      <c r="H418" s="29"/>
      <c r="I418" s="29" t="s">
        <v>1786</v>
      </c>
      <c r="J418" s="29"/>
      <c r="K418" s="29" t="s">
        <v>1075</v>
      </c>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v>33</v>
      </c>
      <c r="AN418" s="29">
        <v>220</v>
      </c>
      <c r="AO418" s="29">
        <v>1</v>
      </c>
      <c r="AP418" s="29">
        <v>300</v>
      </c>
      <c r="AQ418" s="14" t="s">
        <v>623</v>
      </c>
      <c r="AR418" s="1" t="s">
        <v>1787</v>
      </c>
    </row>
    <row r="419" spans="1:44" ht="15" x14ac:dyDescent="0.25">
      <c r="A419" s="31" t="s">
        <v>1788</v>
      </c>
      <c r="B419" s="29" t="s">
        <v>1789</v>
      </c>
      <c r="C419" s="29" t="s">
        <v>1790</v>
      </c>
      <c r="D419" s="1" t="str">
        <f t="shared" si="25"/>
        <v>Documents\GitHub\Ozon_upload\barcode\amazing pics\Термонаклейка Мотылек Луна.pdf</v>
      </c>
      <c r="E419" s="29" t="str">
        <f>CONCATENATE("C:\Users\",username!A3,"\Documents\GitHub\Ozon_upload\DTF_images\tatyana\A4\set4\",C419,".tif")</f>
        <v>C:\Users\maxim\Documents\GitHub\Ozon_upload\DTF_images\tatyana\A4\set4\butterfly_moon_gold1_vert_1.tif</v>
      </c>
      <c r="F419" s="29">
        <v>1</v>
      </c>
      <c r="G419" s="29">
        <v>1</v>
      </c>
      <c r="H419" s="29"/>
      <c r="I419" s="29" t="s">
        <v>1791</v>
      </c>
      <c r="J419" s="29"/>
      <c r="K419" s="29" t="s">
        <v>1075</v>
      </c>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v>33</v>
      </c>
      <c r="AN419" s="29">
        <v>220</v>
      </c>
      <c r="AO419" s="29">
        <v>1</v>
      </c>
      <c r="AP419" s="29">
        <v>300</v>
      </c>
      <c r="AQ419" s="14" t="s">
        <v>623</v>
      </c>
      <c r="AR419" s="1" t="s">
        <v>1792</v>
      </c>
    </row>
    <row r="420" spans="1:44" ht="15" x14ac:dyDescent="0.25">
      <c r="A420" s="31" t="s">
        <v>1793</v>
      </c>
      <c r="B420" s="29" t="s">
        <v>1794</v>
      </c>
      <c r="C420" s="29" t="s">
        <v>1795</v>
      </c>
      <c r="D420" s="1" t="str">
        <f t="shared" si="25"/>
        <v>Documents\GitHub\Ozon_upload\barcode\amazing pics\Термонаклейка Черный Кот в цветах.pdf</v>
      </c>
      <c r="E420" s="29" t="str">
        <f>CONCATENATE("C:\Users\",username!A4,"\Documents\GitHub\Ozon_upload\DTF_images\tatyana\A4\set4\",C420,".tif")</f>
        <v>C:\Users\maxim\Documents\GitHub\Ozon_upload\DTF_images\tatyana\A4\set4\cat_head_d1_vert.tif</v>
      </c>
      <c r="F420" s="29">
        <v>1</v>
      </c>
      <c r="G420" s="29">
        <v>1</v>
      </c>
      <c r="H420" s="29"/>
      <c r="I420" s="29" t="s">
        <v>1796</v>
      </c>
      <c r="J420" s="29"/>
      <c r="K420" s="29" t="s">
        <v>1075</v>
      </c>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v>33</v>
      </c>
      <c r="AN420" s="29">
        <v>220</v>
      </c>
      <c r="AO420" s="29">
        <v>1</v>
      </c>
      <c r="AP420" s="29">
        <v>300</v>
      </c>
      <c r="AQ420" s="14" t="s">
        <v>623</v>
      </c>
      <c r="AR420" s="1" t="s">
        <v>1797</v>
      </c>
    </row>
    <row r="421" spans="1:44" x14ac:dyDescent="0.2">
      <c r="A421" s="29" t="s">
        <v>1798</v>
      </c>
      <c r="B421" s="29" t="s">
        <v>1799</v>
      </c>
      <c r="C421" s="29" t="s">
        <v>1800</v>
      </c>
      <c r="D421" s="1" t="str">
        <f t="shared" si="25"/>
        <v>Documents\GitHub\Ozon_upload\barcode\amazing pics\Термонаклейка Кот Сфинкс Звезды Молния.pdf</v>
      </c>
      <c r="E421" s="29" t="str">
        <f>CONCATENATE("C:\Users\",username!A5,"\Documents\GitHub\Ozon_upload\DTF_images\tatyana\A4\set4\",C421,".tif")</f>
        <v>C:\Users\maxim\Documents\GitHub\Ozon_upload\DTF_images\tatyana\A4\set4\cat_stars_david_bow_vert_1.tif</v>
      </c>
      <c r="F421" s="29">
        <v>1</v>
      </c>
      <c r="G421" s="29">
        <v>1</v>
      </c>
      <c r="H421" s="29"/>
      <c r="I421" s="29" t="s">
        <v>1801</v>
      </c>
      <c r="J421" s="29"/>
      <c r="K421" s="29" t="s">
        <v>1075</v>
      </c>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v>33</v>
      </c>
      <c r="AN421" s="29">
        <v>220</v>
      </c>
      <c r="AO421" s="29">
        <v>1</v>
      </c>
      <c r="AP421" s="29">
        <v>300</v>
      </c>
      <c r="AQ421" s="14" t="s">
        <v>623</v>
      </c>
      <c r="AR421" s="1" t="s">
        <v>1802</v>
      </c>
    </row>
    <row r="422" spans="1:44" ht="15" x14ac:dyDescent="0.25">
      <c r="A422" s="31" t="s">
        <v>1803</v>
      </c>
      <c r="B422" s="29" t="s">
        <v>1804</v>
      </c>
      <c r="C422" s="29" t="s">
        <v>1805</v>
      </c>
      <c r="D422" s="1" t="str">
        <f t="shared" si="25"/>
        <v>Documents\GitHub\Ozon_upload\barcode\amazing pics\Термонаклейка Кот цветы внутри.pdf</v>
      </c>
      <c r="E422" s="29" t="str">
        <f>CONCATENATE("C:\Users\",username!A6,"\Documents\GitHub\Ozon_upload\DTF_images\tatyana\A4\set4\",C422,".tif")</f>
        <v>C:\Users\maxim\Documents\GitHub\Ozon_upload\DTF_images\tatyana\A4\set4\cat_vert_1.tif</v>
      </c>
      <c r="F422" s="29">
        <v>1</v>
      </c>
      <c r="G422" s="29">
        <v>1</v>
      </c>
      <c r="H422" s="29"/>
      <c r="I422" s="29" t="s">
        <v>1806</v>
      </c>
      <c r="J422" s="29"/>
      <c r="K422" s="29" t="s">
        <v>1075</v>
      </c>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v>33</v>
      </c>
      <c r="AN422" s="29">
        <v>220</v>
      </c>
      <c r="AO422" s="29">
        <v>1</v>
      </c>
      <c r="AP422" s="29">
        <v>300</v>
      </c>
      <c r="AQ422" s="14" t="s">
        <v>623</v>
      </c>
      <c r="AR422" s="1" t="s">
        <v>1807</v>
      </c>
    </row>
    <row r="423" spans="1:44" ht="15" x14ac:dyDescent="0.25">
      <c r="A423" s="31" t="s">
        <v>1808</v>
      </c>
      <c r="B423" s="29" t="s">
        <v>1809</v>
      </c>
      <c r="C423" s="29" t="s">
        <v>1810</v>
      </c>
      <c r="D423" s="1" t="str">
        <f t="shared" si="25"/>
        <v>Documents\GitHub\Ozon_upload\barcode\amazing pics\Термонаклейка Белый Кот в цветах.pdf</v>
      </c>
      <c r="E423" s="29" t="str">
        <f>CONCATENATE("C:\Users\",username!A7,"\Documents\GitHub\Ozon_upload\DTF_images\tatyana\A4\set4\",C423,".tif")</f>
        <v>C:\Users\maxim\Documents\GitHub\Ozon_upload\DTF_images\tatyana\A4\set4\cat1_f1_versB_vert.tif</v>
      </c>
      <c r="F423" s="29">
        <v>1</v>
      </c>
      <c r="G423" s="29">
        <v>1</v>
      </c>
      <c r="H423" s="29"/>
      <c r="I423" s="29" t="s">
        <v>1811</v>
      </c>
      <c r="J423" s="29"/>
      <c r="K423" s="29" t="s">
        <v>1075</v>
      </c>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v>33</v>
      </c>
      <c r="AN423" s="29">
        <v>220</v>
      </c>
      <c r="AO423" s="29">
        <v>1</v>
      </c>
      <c r="AP423" s="29">
        <v>300</v>
      </c>
      <c r="AQ423" s="14" t="s">
        <v>623</v>
      </c>
      <c r="AR423" s="1" t="s">
        <v>1812</v>
      </c>
    </row>
    <row r="424" spans="1:44" ht="15" x14ac:dyDescent="0.25">
      <c r="A424" s="31" t="s">
        <v>1813</v>
      </c>
      <c r="B424" s="29" t="s">
        <v>1814</v>
      </c>
      <c r="C424" s="29" t="s">
        <v>1815</v>
      </c>
      <c r="D424" s="1" t="str">
        <f t="shared" si="25"/>
        <v>Documents\GitHub\Ozon_upload\barcode\amazing pics\Термонаклейка Лотос розовый золотистый.pdf</v>
      </c>
      <c r="E424" s="29" t="str">
        <f>CONCATENATE("C:\Users\",username!A8,"\Documents\GitHub\Ozon_upload\DTF_images\tatyana\A4\set4\",C424,".tif")</f>
        <v>C:\Users\maxim\Documents\GitHub\Ozon_upload\DTF_images\tatyana\A4\set4\flower_pink1_horiz.tif</v>
      </c>
      <c r="F424" s="29">
        <v>0</v>
      </c>
      <c r="G424" s="29">
        <v>1</v>
      </c>
      <c r="H424" s="29"/>
      <c r="I424" s="29" t="s">
        <v>1816</v>
      </c>
      <c r="J424" s="29"/>
      <c r="K424" s="29" t="s">
        <v>1075</v>
      </c>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v>33</v>
      </c>
      <c r="AN424" s="29">
        <v>220</v>
      </c>
      <c r="AO424" s="29">
        <v>1</v>
      </c>
      <c r="AP424" s="29">
        <v>300</v>
      </c>
      <c r="AQ424" s="14" t="s">
        <v>623</v>
      </c>
      <c r="AR424" s="1" t="s">
        <v>1817</v>
      </c>
    </row>
    <row r="425" spans="1:44" ht="15" x14ac:dyDescent="0.25">
      <c r="A425" s="31" t="s">
        <v>1818</v>
      </c>
      <c r="B425" s="29" t="s">
        <v>1819</v>
      </c>
      <c r="C425" s="29" t="s">
        <v>1820</v>
      </c>
      <c r="D425" s="1" t="str">
        <f t="shared" si="25"/>
        <v>Documents\GitHub\Ozon_upload\barcode\amazing pics\Термонаклейка Цветы Синий Акварель.pdf</v>
      </c>
      <c r="E425" s="29" t="str">
        <f>CONCATENATE("C:\Users\",username!A10,"\Documents\GitHub\Ozon_upload\DTF_images\tatyana\A4\set4\",C425,".tif")</f>
        <v>C:\Users\maxim\Documents\GitHub\Ozon_upload\DTF_images\tatyana\A4\set4\flowers_abc1_vert.tif</v>
      </c>
      <c r="F425" s="29">
        <v>1</v>
      </c>
      <c r="G425" s="29">
        <v>1</v>
      </c>
      <c r="H425" s="29"/>
      <c r="I425" s="29" t="s">
        <v>1821</v>
      </c>
      <c r="J425" s="29"/>
      <c r="K425" s="29" t="s">
        <v>1075</v>
      </c>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v>33</v>
      </c>
      <c r="AN425" s="29">
        <v>220</v>
      </c>
      <c r="AO425" s="29">
        <v>1</v>
      </c>
      <c r="AP425" s="29">
        <v>300</v>
      </c>
      <c r="AQ425" s="14" t="s">
        <v>623</v>
      </c>
      <c r="AR425" s="1" t="s">
        <v>1822</v>
      </c>
    </row>
    <row r="426" spans="1:44" ht="15" x14ac:dyDescent="0.25">
      <c r="A426" s="31" t="s">
        <v>1823</v>
      </c>
      <c r="B426" s="29" t="s">
        <v>1824</v>
      </c>
      <c r="C426" s="29" t="s">
        <v>1825</v>
      </c>
      <c r="D426" s="1" t="str">
        <f t="shared" si="25"/>
        <v>Documents\GitHub\Ozon_upload\barcode\amazing pics\Термонаклейка Орхидея Цветы Розовые.pdf</v>
      </c>
      <c r="E426" s="29" t="str">
        <f>CONCATENATE("C:\Users\",username!A12,"\Documents\GitHub\Ozon_upload\DTF_images\tatyana\A4\set4\",C426,".tif")</f>
        <v>C:\Users\maxim\Documents\GitHub\Ozon_upload\DTF_images\tatyana\A4\set4\flowers_pinks12_vert.tif</v>
      </c>
      <c r="F426" s="29">
        <v>1</v>
      </c>
      <c r="G426" s="29">
        <v>1</v>
      </c>
      <c r="H426" s="29"/>
      <c r="I426" s="29" t="s">
        <v>1826</v>
      </c>
      <c r="J426" s="29"/>
      <c r="K426" s="29" t="s">
        <v>1075</v>
      </c>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v>33</v>
      </c>
      <c r="AN426" s="29">
        <v>220</v>
      </c>
      <c r="AO426" s="29">
        <v>1</v>
      </c>
      <c r="AP426" s="29">
        <v>300</v>
      </c>
      <c r="AQ426" s="14" t="s">
        <v>623</v>
      </c>
      <c r="AR426" s="1" t="s">
        <v>1827</v>
      </c>
    </row>
    <row r="427" spans="1:44" ht="15" x14ac:dyDescent="0.25">
      <c r="A427" s="31" t="s">
        <v>1828</v>
      </c>
      <c r="B427" s="29" t="s">
        <v>1829</v>
      </c>
      <c r="C427" s="29" t="s">
        <v>1830</v>
      </c>
      <c r="D427" s="1" t="str">
        <f t="shared" si="25"/>
        <v>Documents\GitHub\Ozon_upload\barcode\amazing pics\Термонаклейка Девочка и Лиса.pdf</v>
      </c>
      <c r="E427" s="29" t="str">
        <f>CONCATENATE("C:\Users\",username!A13,"\Documents\GitHub\Ozon_upload\DTF_images\tatyana\A4\set4\",C427,".tif")</f>
        <v>C:\Users\maxim\Documents\GitHub\Ozon_upload\DTF_images\tatyana\A4\set4\girl_and_fox1_vert.tif</v>
      </c>
      <c r="F427" s="29">
        <v>1</v>
      </c>
      <c r="G427" s="29">
        <v>1</v>
      </c>
      <c r="H427" s="29"/>
      <c r="I427" s="29" t="s">
        <v>1831</v>
      </c>
      <c r="J427" s="29"/>
      <c r="K427" s="29" t="s">
        <v>1075</v>
      </c>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v>33</v>
      </c>
      <c r="AN427" s="29">
        <v>220</v>
      </c>
      <c r="AO427" s="29">
        <v>1</v>
      </c>
      <c r="AP427" s="29">
        <v>300</v>
      </c>
      <c r="AQ427" s="14" t="s">
        <v>623</v>
      </c>
      <c r="AR427" s="1" t="s">
        <v>1832</v>
      </c>
    </row>
    <row r="428" spans="1:44" ht="15" x14ac:dyDescent="0.25">
      <c r="A428" s="31" t="s">
        <v>1833</v>
      </c>
      <c r="B428" s="29" t="s">
        <v>1834</v>
      </c>
      <c r="C428" s="29" t="s">
        <v>1835</v>
      </c>
      <c r="D428" s="1" t="str">
        <f t="shared" si="25"/>
        <v>Documents\GitHub\Ozon_upload\barcode\amazing pics\Термонаклейка Девушка Венок Луна Акварель.pdf</v>
      </c>
      <c r="E428" s="29" t="str">
        <f>CONCATENATE("C:\Users\",username!A14,"\Documents\GitHub\Ozon_upload\DTF_images\tatyana\A4\set4\",C428,".tif")</f>
        <v>C:\Users\maxim\Documents\GitHub\Ozon_upload\DTF_images\tatyana\A4\set4\girl_flowers_planet_venok_vert_1.tif</v>
      </c>
      <c r="F428" s="29">
        <v>1</v>
      </c>
      <c r="G428" s="29">
        <v>1</v>
      </c>
      <c r="H428" s="29"/>
      <c r="I428" s="29" t="s">
        <v>1836</v>
      </c>
      <c r="J428" s="29"/>
      <c r="K428" s="29" t="s">
        <v>1075</v>
      </c>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v>33</v>
      </c>
      <c r="AN428" s="29">
        <v>220</v>
      </c>
      <c r="AO428" s="29">
        <v>1</v>
      </c>
      <c r="AP428" s="29">
        <v>300</v>
      </c>
      <c r="AQ428" s="14" t="s">
        <v>623</v>
      </c>
      <c r="AR428" s="1" t="s">
        <v>1837</v>
      </c>
    </row>
    <row r="429" spans="1:44" ht="15" x14ac:dyDescent="0.25">
      <c r="A429" s="31" t="s">
        <v>1838</v>
      </c>
      <c r="B429" s="29" t="s">
        <v>1839</v>
      </c>
      <c r="C429" s="29" t="s">
        <v>1840</v>
      </c>
      <c r="D429" s="1" t="str">
        <f t="shared" si="25"/>
        <v>Documents\GitHub\Ozon_upload\barcode\amazing pics\Термонаклейка Девушка Волосы Бабочки.pdf</v>
      </c>
      <c r="E429" s="29" t="str">
        <f>CONCATENATE("C:\Users\",username!A14,"\Documents\GitHub\Ozon_upload\DTF_images\tatyana\A4\set4\",C429,".tif")</f>
        <v>C:\Users\maxim\Documents\GitHub\Ozon_upload\DTF_images\tatyana\A4\set4\girl_head_butterflys_de1_vert.tif</v>
      </c>
      <c r="F429" s="29">
        <v>1</v>
      </c>
      <c r="G429" s="29">
        <v>1</v>
      </c>
      <c r="H429" s="29"/>
      <c r="I429" s="29" t="s">
        <v>1841</v>
      </c>
      <c r="J429" s="29"/>
      <c r="K429" s="29" t="s">
        <v>1075</v>
      </c>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v>33</v>
      </c>
      <c r="AN429" s="29">
        <v>220</v>
      </c>
      <c r="AO429" s="29">
        <v>1</v>
      </c>
      <c r="AP429" s="29">
        <v>300</v>
      </c>
      <c r="AQ429" s="14" t="s">
        <v>623</v>
      </c>
      <c r="AR429" s="1" t="s">
        <v>1842</v>
      </c>
    </row>
    <row r="430" spans="1:44" ht="15" x14ac:dyDescent="0.25">
      <c r="A430" s="31" t="s">
        <v>1843</v>
      </c>
      <c r="B430" s="29" t="s">
        <v>1844</v>
      </c>
      <c r="C430" s="29" t="s">
        <v>1845</v>
      </c>
      <c r="D430" s="1" t="str">
        <f t="shared" si="25"/>
        <v>Documents\GitHub\Ozon_upload\barcode\amazing pics\Термонаклейка Девушка Природа Силует.pdf</v>
      </c>
      <c r="E430" s="29" t="str">
        <f>CONCATENATE("C:\Users\",username!A15,"\Documents\GitHub\Ozon_upload\DTF_images\tatyana\A4\set4\",C430,".tif")</f>
        <v>C:\Users\maxim\Documents\GitHub\Ozon_upload\DTF_images\tatyana\A4\set4\girl_head_forest_green_vert1.tif</v>
      </c>
      <c r="F430" s="29">
        <v>1</v>
      </c>
      <c r="G430" s="29">
        <v>1</v>
      </c>
      <c r="H430" s="29"/>
      <c r="I430" s="29" t="s">
        <v>1846</v>
      </c>
      <c r="J430" s="29"/>
      <c r="K430" s="29" t="s">
        <v>1075</v>
      </c>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v>33</v>
      </c>
      <c r="AN430" s="29">
        <v>220</v>
      </c>
      <c r="AO430" s="29">
        <v>1</v>
      </c>
      <c r="AP430" s="29">
        <v>300</v>
      </c>
      <c r="AQ430" s="14" t="s">
        <v>623</v>
      </c>
      <c r="AR430" s="1" t="s">
        <v>1847</v>
      </c>
    </row>
    <row r="431" spans="1:44" ht="15" x14ac:dyDescent="0.25">
      <c r="A431" s="31" t="s">
        <v>1848</v>
      </c>
      <c r="B431" s="29" t="s">
        <v>1849</v>
      </c>
      <c r="C431" s="29" t="s">
        <v>1850</v>
      </c>
      <c r="D431" s="1" t="str">
        <f t="shared" si="25"/>
        <v>Documents\GitHub\Ozon_upload\barcode\amazing pics\Термонаклейка Девушка Маска Доберман Собака.pdf</v>
      </c>
      <c r="E431" s="29" t="str">
        <f>CONCATENATE("C:\Users\",username!A16,"\Documents\GitHub\Ozon_upload\DTF_images\tatyana\A4\set4\",C431,".tif")</f>
        <v>C:\Users\maxim\Documents\GitHub\Ozon_upload\DTF_images\tatyana\A4\set4\girl_headwolf_ad_vert.tif</v>
      </c>
      <c r="F431" s="29">
        <v>1</v>
      </c>
      <c r="G431" s="29">
        <v>1</v>
      </c>
      <c r="H431" s="29"/>
      <c r="I431" s="29" t="s">
        <v>1851</v>
      </c>
      <c r="J431" s="29"/>
      <c r="K431" s="29" t="s">
        <v>1075</v>
      </c>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v>33</v>
      </c>
      <c r="AN431" s="29">
        <v>220</v>
      </c>
      <c r="AO431" s="29">
        <v>1</v>
      </c>
      <c r="AP431" s="29">
        <v>300</v>
      </c>
      <c r="AQ431" s="14" t="s">
        <v>623</v>
      </c>
      <c r="AR431" s="1" t="s">
        <v>1852</v>
      </c>
    </row>
    <row r="432" spans="1:44" ht="15" x14ac:dyDescent="0.25">
      <c r="A432" s="31" t="s">
        <v>1853</v>
      </c>
      <c r="B432" s="29" t="s">
        <v>1854</v>
      </c>
      <c r="C432" s="29" t="s">
        <v>1855</v>
      </c>
      <c r="D432" s="1" t="str">
        <f t="shared" si="25"/>
        <v>Documents\GitHub\Ozon_upload\barcode\amazing pics\Термонаклейка Девушка Аниме Япония Красное Солнце.pdf</v>
      </c>
      <c r="E432" s="29" t="str">
        <f>CONCATENATE("C:\Users\",username!A17,"\Documents\GitHub\Ozon_upload\DTF_images\tatyana\A4\set4\",C432,".tif")</f>
        <v>C:\Users\maxim\Documents\GitHub\Ozon_upload\DTF_images\tatyana\A4\set4\girl_redsun_japan1_vert.tif</v>
      </c>
      <c r="F432" s="29">
        <v>1</v>
      </c>
      <c r="G432" s="29">
        <v>1</v>
      </c>
      <c r="H432" s="29"/>
      <c r="I432" s="29" t="s">
        <v>1856</v>
      </c>
      <c r="J432" s="29"/>
      <c r="K432" s="29" t="s">
        <v>1075</v>
      </c>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v>33</v>
      </c>
      <c r="AN432" s="29">
        <v>220</v>
      </c>
      <c r="AO432" s="29">
        <v>1</v>
      </c>
      <c r="AP432" s="29">
        <v>300</v>
      </c>
      <c r="AQ432" s="14" t="s">
        <v>628</v>
      </c>
      <c r="AR432" s="1" t="s">
        <v>1857</v>
      </c>
    </row>
    <row r="433" spans="1:44" ht="15" x14ac:dyDescent="0.25">
      <c r="A433" s="31" t="s">
        <v>1858</v>
      </c>
      <c r="B433" s="29" t="s">
        <v>1859</v>
      </c>
      <c r="C433" s="29" t="s">
        <v>1860</v>
      </c>
      <c r="D433" s="1" t="str">
        <f t="shared" si="25"/>
        <v>Documents\GitHub\Ozon_upload\barcode\amazing pics\Термонаклейка Девушка Силует Закат.pdf</v>
      </c>
      <c r="E433" s="29" t="str">
        <f>CONCATENATE("C:\Users\",username!A18,"\Documents\GitHub\Ozon_upload\DTF_images\tatyana\A4\set4\",C433,".tif")</f>
        <v>C:\Users\maxim\Documents\GitHub\Ozon_upload\DTF_images\tatyana\A4\set4\girl_sunset_vert_1.tif</v>
      </c>
      <c r="F433" s="29">
        <v>1</v>
      </c>
      <c r="G433" s="29">
        <v>1</v>
      </c>
      <c r="H433" s="29"/>
      <c r="I433" s="29" t="s">
        <v>1861</v>
      </c>
      <c r="J433" s="29"/>
      <c r="K433" s="29" t="s">
        <v>1075</v>
      </c>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v>33</v>
      </c>
      <c r="AN433" s="29">
        <v>220</v>
      </c>
      <c r="AO433" s="29">
        <v>1</v>
      </c>
      <c r="AP433" s="29">
        <v>300</v>
      </c>
      <c r="AQ433" s="14" t="s">
        <v>623</v>
      </c>
      <c r="AR433" s="1" t="s">
        <v>1862</v>
      </c>
    </row>
    <row r="434" spans="1:44" ht="15" x14ac:dyDescent="0.25">
      <c r="A434" s="31" t="s">
        <v>1863</v>
      </c>
      <c r="B434" s="29" t="s">
        <v>1864</v>
      </c>
      <c r="C434" s="29" t="s">
        <v>1865</v>
      </c>
      <c r="D434" s="1" t="str">
        <f t="shared" si="25"/>
        <v>Documents\GitHub\Ozon_upload\barcode\amazing pics\Термонаклейка Девушка Силует Акварель Лес.pdf</v>
      </c>
      <c r="E434" s="29" t="str">
        <f>CONCATENATE("C:\Users\",username!A19,"\Documents\GitHub\Ozon_upload\DTF_images\tatyana\A4\set4\",C434,".tif")</f>
        <v>C:\Users\maxim\Documents\GitHub\Ozon_upload\DTF_images\tatyana\A4\set4\girl_whiteblack_forest_vert_1.tif</v>
      </c>
      <c r="F434" s="29">
        <v>1</v>
      </c>
      <c r="G434" s="29">
        <v>1</v>
      </c>
      <c r="H434" s="29"/>
      <c r="I434" s="29" t="s">
        <v>1866</v>
      </c>
      <c r="J434" s="29"/>
      <c r="K434" s="29" t="s">
        <v>1075</v>
      </c>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v>33</v>
      </c>
      <c r="AN434" s="29">
        <v>220</v>
      </c>
      <c r="AO434" s="29">
        <v>1</v>
      </c>
      <c r="AP434" s="29">
        <v>300</v>
      </c>
      <c r="AQ434" s="14" t="s">
        <v>623</v>
      </c>
      <c r="AR434" s="1" t="s">
        <v>1867</v>
      </c>
    </row>
    <row r="435" spans="1:44" ht="15" x14ac:dyDescent="0.25">
      <c r="A435" s="31" t="s">
        <v>1868</v>
      </c>
      <c r="B435" s="29" t="s">
        <v>1869</v>
      </c>
      <c r="C435" s="29" t="s">
        <v>1870</v>
      </c>
      <c r="D435" s="1" t="str">
        <f t="shared" si="25"/>
        <v>Documents\GitHub\Ozon_upload\barcode\amazing pics\Термонаклейка Сердце Букет Цветы.pdf</v>
      </c>
      <c r="E435" s="29" t="str">
        <f>CONCATENATE("C:\Users\",username!A20,"\Documents\GitHub\Ozon_upload\DTF_images\tatyana\A4\set4\",C435,".tif")</f>
        <v>C:\Users\maxim\Documents\GitHub\Ozon_upload\DTF_images\tatyana\A4\set4\heart_flowers_horiz.tif</v>
      </c>
      <c r="F435" s="29">
        <v>0</v>
      </c>
      <c r="G435" s="29">
        <v>1</v>
      </c>
      <c r="H435" s="29"/>
      <c r="I435" s="29" t="s">
        <v>1871</v>
      </c>
      <c r="J435" s="29"/>
      <c r="K435" s="29" t="s">
        <v>1075</v>
      </c>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v>33</v>
      </c>
      <c r="AN435" s="29">
        <v>220</v>
      </c>
      <c r="AO435" s="29">
        <v>1</v>
      </c>
      <c r="AP435" s="29">
        <v>300</v>
      </c>
      <c r="AQ435" s="14" t="s">
        <v>623</v>
      </c>
      <c r="AR435" s="1" t="s">
        <v>1872</v>
      </c>
    </row>
    <row r="436" spans="1:44" ht="15" x14ac:dyDescent="0.25">
      <c r="A436" s="31" t="s">
        <v>1873</v>
      </c>
      <c r="B436" s="29" t="s">
        <v>1874</v>
      </c>
      <c r="C436" s="29" t="s">
        <v>1875</v>
      </c>
      <c r="D436" s="1" t="str">
        <f t="shared" si="25"/>
        <v>Documents\GitHub\Ozon_upload\barcode\amazing pics\Термонаклейка Сердце Море Силует.pdf</v>
      </c>
      <c r="E436" s="29" t="str">
        <f>CONCATENATE("C:\Users\",username!A21,"\Documents\GitHub\Ozon_upload\DTF_images\tatyana\A4\set4\",C436,".tif")</f>
        <v>C:\Users\maxim\Documents\GitHub\Ozon_upload\DTF_images\tatyana\A4\set4\heart_ocean1_horiz.tif</v>
      </c>
      <c r="F436" s="29">
        <v>0</v>
      </c>
      <c r="G436" s="29">
        <v>1</v>
      </c>
      <c r="H436" s="29"/>
      <c r="I436" s="29" t="s">
        <v>1876</v>
      </c>
      <c r="J436" s="29"/>
      <c r="K436" s="29" t="s">
        <v>1075</v>
      </c>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v>33</v>
      </c>
      <c r="AN436" s="29">
        <v>220</v>
      </c>
      <c r="AO436" s="29">
        <v>1</v>
      </c>
      <c r="AP436" s="29">
        <v>300</v>
      </c>
      <c r="AQ436" s="14" t="s">
        <v>623</v>
      </c>
      <c r="AR436" s="1" t="s">
        <v>1877</v>
      </c>
    </row>
    <row r="437" spans="1:44" ht="15" x14ac:dyDescent="0.25">
      <c r="A437" s="31" t="s">
        <v>1878</v>
      </c>
      <c r="B437" s="29" t="s">
        <v>1879</v>
      </c>
      <c r="C437" s="29" t="s">
        <v>1880</v>
      </c>
      <c r="D437" s="1" t="str">
        <f t="shared" si="25"/>
        <v>Documents\GitHub\Ozon_upload\barcode\amazing pics\Термонаклейка Белая Лошадь Цветы.pdf</v>
      </c>
      <c r="E437" s="29" t="str">
        <f>CONCATENATE("C:\Users\",username!A22,"\Documents\GitHub\Ozon_upload\DTF_images\tatyana\A4\set4\",C437,".tif")</f>
        <v>C:\Users\maxim\Documents\GitHub\Ozon_upload\DTF_images\tatyana\A4\set4\horse_white1_vert.tif</v>
      </c>
      <c r="F437" s="29">
        <v>1</v>
      </c>
      <c r="G437" s="29">
        <v>1</v>
      </c>
      <c r="H437" s="29"/>
      <c r="I437" s="29" t="s">
        <v>1881</v>
      </c>
      <c r="J437" s="29"/>
      <c r="K437" s="29" t="s">
        <v>1075</v>
      </c>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v>33</v>
      </c>
      <c r="AN437" s="29">
        <v>220</v>
      </c>
      <c r="AO437" s="29">
        <v>1</v>
      </c>
      <c r="AP437" s="29">
        <v>300</v>
      </c>
      <c r="AQ437" s="14" t="s">
        <v>623</v>
      </c>
      <c r="AR437" s="1" t="s">
        <v>1882</v>
      </c>
    </row>
    <row r="438" spans="1:44" ht="15" x14ac:dyDescent="0.25">
      <c r="A438" s="31" t="s">
        <v>1883</v>
      </c>
      <c r="B438" s="29" t="s">
        <v>1884</v>
      </c>
      <c r="C438" s="29" t="s">
        <v>1885</v>
      </c>
      <c r="D438" s="1" t="str">
        <f t="shared" si="25"/>
        <v>Documents\GitHub\Ozon_upload\barcode\amazing pics\Термонаклейка Морская Ракушка Силует.pdf</v>
      </c>
      <c r="E438" s="29" t="str">
        <f>CONCATENATE("C:\Users\",username!A23,"\Documents\GitHub\Ozon_upload\DTF_images\tatyana\A4\set4\",C438,".tif")</f>
        <v>C:\Users\maxim\Documents\GitHub\Ozon_upload\DTF_images\tatyana\A4\set4\seashell_a1_vert.tif</v>
      </c>
      <c r="F438" s="29">
        <v>1</v>
      </c>
      <c r="G438" s="29">
        <v>1</v>
      </c>
      <c r="H438" s="29"/>
      <c r="I438" s="29" t="s">
        <v>1886</v>
      </c>
      <c r="J438" s="29"/>
      <c r="K438" s="29" t="s">
        <v>1075</v>
      </c>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v>33</v>
      </c>
      <c r="AN438" s="29">
        <v>220</v>
      </c>
      <c r="AO438" s="29">
        <v>1</v>
      </c>
      <c r="AP438" s="29">
        <v>300</v>
      </c>
      <c r="AQ438" s="14" t="s">
        <v>623</v>
      </c>
      <c r="AR438" s="1" t="s">
        <v>1887</v>
      </c>
    </row>
    <row r="439" spans="1:44" ht="15" x14ac:dyDescent="0.25">
      <c r="A439" s="31" t="s">
        <v>1888</v>
      </c>
      <c r="B439" s="29" t="s">
        <v>1889</v>
      </c>
      <c r="C439" s="29" t="s">
        <v>1890</v>
      </c>
      <c r="D439" s="1" t="str">
        <f t="shared" si="25"/>
        <v>Documents\GitHub\Ozon_upload\barcode\amazing pics\Термонаклейка Подсолнухи Цветы.pdf</v>
      </c>
      <c r="E439" s="29" t="str">
        <f>CONCATENATE("C:\Users\",username!A24,"\Documents\GitHub\Ozon_upload\DTF_images\tatyana\A4\set4\",C439,".tif")</f>
        <v>C:\Users\maxim\Documents\GitHub\Ozon_upload\DTF_images\tatyana\A4\set4\sunflower_v1_vert.tif</v>
      </c>
      <c r="F439" s="29">
        <v>1</v>
      </c>
      <c r="G439" s="29">
        <v>1</v>
      </c>
      <c r="H439" s="29"/>
      <c r="I439" s="29" t="s">
        <v>1891</v>
      </c>
      <c r="J439" s="29"/>
      <c r="K439" s="29" t="s">
        <v>1075</v>
      </c>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v>33</v>
      </c>
      <c r="AN439" s="29">
        <v>220</v>
      </c>
      <c r="AO439" s="29">
        <v>1</v>
      </c>
      <c r="AP439" s="29">
        <v>300</v>
      </c>
      <c r="AQ439" s="14" t="s">
        <v>623</v>
      </c>
      <c r="AR439" s="1" t="s">
        <v>1892</v>
      </c>
    </row>
    <row r="440" spans="1:44" ht="15" x14ac:dyDescent="0.25">
      <c r="A440" s="31" t="s">
        <v>1893</v>
      </c>
      <c r="B440" s="29" t="s">
        <v>1894</v>
      </c>
      <c r="C440" s="29" t="s">
        <v>1895</v>
      </c>
      <c r="D440" s="1" t="str">
        <f t="shared" si="25"/>
        <v>Documents\GitHub\Ozon_upload\barcode\amazing pics\Термонаклейка Черепаха Цветы на панцире.pdf</v>
      </c>
      <c r="E440" s="29" t="str">
        <f>CONCATENATE("C:\Users\",username!A25,"\Documents\GitHub\Ozon_upload\DTF_images\tatyana\A4\set4\",C440,".tif")</f>
        <v>C:\Users\maxim\Documents\GitHub\Ozon_upload\DTF_images\tatyana\A4\set4\turtle_t1_horiz.tif</v>
      </c>
      <c r="F440" s="29">
        <v>0</v>
      </c>
      <c r="G440" s="29">
        <v>1</v>
      </c>
      <c r="H440" s="29"/>
      <c r="I440" s="29" t="s">
        <v>1896</v>
      </c>
      <c r="J440" s="29"/>
      <c r="K440" s="29" t="s">
        <v>1075</v>
      </c>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v>33</v>
      </c>
      <c r="AN440" s="29">
        <v>220</v>
      </c>
      <c r="AO440" s="29">
        <v>1</v>
      </c>
      <c r="AP440" s="29">
        <v>300</v>
      </c>
      <c r="AQ440" s="14" t="s">
        <v>623</v>
      </c>
      <c r="AR440" s="1" t="s">
        <v>1897</v>
      </c>
    </row>
    <row r="441" spans="1:44" ht="15" x14ac:dyDescent="0.25">
      <c r="A441" s="31" t="s">
        <v>1898</v>
      </c>
      <c r="B441" s="29" t="s">
        <v>1899</v>
      </c>
      <c r="C441" s="29" t="s">
        <v>1900</v>
      </c>
      <c r="D441" s="1" t="str">
        <f t="shared" si="25"/>
        <v>Documents\GitHub\Ozon_upload\barcode\amazing pics\Термонаклейка Девушка и 2 ласточки.pdf</v>
      </c>
      <c r="E441" s="29" t="str">
        <f>CONCATENATE("C:\Users\",username!A26,"\Documents\GitHub\Ozon_upload\DTF_images\tatyana\A4\set4\",C441,".tif")</f>
        <v>C:\Users\maxim\Documents\GitHub\Ozon_upload\DTF_images\tatyana\A4\set4\two_birds_face_girl_eyes1_vert.tif</v>
      </c>
      <c r="F441" s="29">
        <v>1</v>
      </c>
      <c r="G441" s="29">
        <v>1</v>
      </c>
      <c r="H441" s="29"/>
      <c r="I441" s="29" t="s">
        <v>1901</v>
      </c>
      <c r="J441" s="29"/>
      <c r="K441" s="29" t="s">
        <v>1075</v>
      </c>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v>33</v>
      </c>
      <c r="AN441" s="29">
        <v>220</v>
      </c>
      <c r="AO441" s="29">
        <v>1</v>
      </c>
      <c r="AP441" s="29">
        <v>300</v>
      </c>
      <c r="AQ441" s="14" t="s">
        <v>623</v>
      </c>
      <c r="AR441" s="1" t="s">
        <v>1902</v>
      </c>
    </row>
    <row r="442" spans="1:44" ht="15" x14ac:dyDescent="0.25">
      <c r="A442" s="31" t="s">
        <v>1903</v>
      </c>
      <c r="B442" s="29" t="s">
        <v>1904</v>
      </c>
      <c r="C442" s="29" t="s">
        <v>1905</v>
      </c>
      <c r="D442" s="1" t="str">
        <f t="shared" si="25"/>
        <v>Documents\GitHub\Ozon_upload\barcode\amazing pics\Термонаклейка Кит в Цветах.pdf</v>
      </c>
      <c r="E442" s="29" t="str">
        <f>CONCATENATE("C:\Users\",username!A27,"\Documents\GitHub\Ozon_upload\DTF_images\tatyana\A4\set4\",C442,".tif")</f>
        <v>C:\Users\maxim\Documents\GitHub\Ozon_upload\DTF_images\tatyana\A4\set4\whale2_vert1.tif</v>
      </c>
      <c r="F442" s="29">
        <v>1</v>
      </c>
      <c r="G442" s="29">
        <v>1</v>
      </c>
      <c r="H442" s="29"/>
      <c r="I442" s="29" t="s">
        <v>1906</v>
      </c>
      <c r="J442" s="29"/>
      <c r="K442" s="29" t="s">
        <v>1075</v>
      </c>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v>33</v>
      </c>
      <c r="AN442" s="29">
        <v>220</v>
      </c>
      <c r="AO442" s="29">
        <v>1</v>
      </c>
      <c r="AP442" s="29">
        <v>300</v>
      </c>
      <c r="AQ442" s="14" t="s">
        <v>623</v>
      </c>
      <c r="AR442" s="1" t="s">
        <v>1907</v>
      </c>
    </row>
    <row r="443" spans="1:44" ht="15" x14ac:dyDescent="0.25">
      <c r="A443" s="28" t="s">
        <v>1908</v>
      </c>
      <c r="B443" s="29" t="s">
        <v>1909</v>
      </c>
      <c r="C443" s="29" t="s">
        <v>1910</v>
      </c>
      <c r="D443" s="1" t="str">
        <f t="shared" si="25"/>
        <v>Documents\GitHub\Ozon_upload\barcode\amazing pics\Термонаклейка Одри Хепбёрн холст Vogue.pdf</v>
      </c>
      <c r="E443" s="30" t="str">
        <f>CONCATENATE("C:\Users\",username!A27,"\Documents\GitHub\Ozon_upload\DTF_images\tatyana\A4\set1\",C443,".tif")</f>
        <v>C:\Users\maxim\Documents\GitHub\Ozon_upload\DTF_images\tatyana\A4\set1\Audrey Hepburn_gf11_vert.tif</v>
      </c>
      <c r="F443" s="29">
        <v>1</v>
      </c>
      <c r="G443" s="29">
        <v>1</v>
      </c>
      <c r="H443" s="29"/>
      <c r="I443" s="29" t="s">
        <v>1911</v>
      </c>
      <c r="J443" s="29"/>
      <c r="K443" s="29" t="s">
        <v>1075</v>
      </c>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v>33</v>
      </c>
      <c r="AN443" s="29">
        <v>220</v>
      </c>
      <c r="AO443" s="29">
        <v>1</v>
      </c>
      <c r="AP443" s="29">
        <v>300</v>
      </c>
      <c r="AQ443" s="14" t="s">
        <v>623</v>
      </c>
      <c r="AR443" s="1" t="s">
        <v>1912</v>
      </c>
    </row>
    <row r="444" spans="1:44" ht="15" x14ac:dyDescent="0.25">
      <c r="A444" s="28" t="s">
        <v>1913</v>
      </c>
      <c r="B444" s="29" t="s">
        <v>1914</v>
      </c>
      <c r="C444" s="29" t="s">
        <v>1915</v>
      </c>
      <c r="D444" s="1" t="str">
        <f t="shared" si="25"/>
        <v>Documents\GitHub\Ozon_upload\barcode\amazing pics\Термонаклейка Черный Кот Силует астрономия.pdf</v>
      </c>
      <c r="E444" s="30" t="str">
        <f>CONCATENATE("C:\Users\",username!A28,"\Documents\GitHub\Ozon_upload\DTF_images\tatyana\A4\set1\",C444,".tif")</f>
        <v>C:\Users\maxim\Documents\GitHub\Ozon_upload\DTF_images\tatyana\A4\set1\cat_df12_tat_vert.tif</v>
      </c>
      <c r="F444" s="29">
        <v>1</v>
      </c>
      <c r="G444" s="29">
        <v>1</v>
      </c>
      <c r="H444" s="29"/>
      <c r="I444" s="29" t="s">
        <v>1916</v>
      </c>
      <c r="J444" s="29"/>
      <c r="K444" s="29" t="s">
        <v>1075</v>
      </c>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v>33</v>
      </c>
      <c r="AN444" s="29">
        <v>220</v>
      </c>
      <c r="AO444" s="29">
        <v>1</v>
      </c>
      <c r="AP444" s="29">
        <v>300</v>
      </c>
      <c r="AQ444" s="14" t="s">
        <v>623</v>
      </c>
      <c r="AR444" s="1" t="s">
        <v>1917</v>
      </c>
    </row>
    <row r="445" spans="1:44" ht="15" x14ac:dyDescent="0.25">
      <c r="A445" s="28" t="s">
        <v>1918</v>
      </c>
      <c r="B445" s="29" t="s">
        <v>1919</v>
      </c>
      <c r="C445" s="29" t="s">
        <v>1920</v>
      </c>
      <c r="D445" s="1" t="str">
        <f t="shared" si="25"/>
        <v>Documents\GitHub\Ozon_upload\barcode\amazing pics\Термонаклейка Аниме девочка белые волосы уши кошки.pdf</v>
      </c>
      <c r="E445" s="30" t="str">
        <f>CONCATENATE("C:\Users\",username!A29,"\Documents\GitHub\Ozon_upload\DTF_images\tatyana\A4\set1\",C445,".tif")</f>
        <v>C:\Users\maxim\Documents\GitHub\Ozon_upload\DTF_images\tatyana\A4\set1\girl_anime_gf11_vert.tif</v>
      </c>
      <c r="F445" s="29">
        <v>1</v>
      </c>
      <c r="G445" s="29">
        <v>1</v>
      </c>
      <c r="H445" s="29"/>
      <c r="I445" s="29" t="s">
        <v>1921</v>
      </c>
      <c r="J445" s="29"/>
      <c r="K445" s="29" t="s">
        <v>1075</v>
      </c>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v>33</v>
      </c>
      <c r="AN445" s="29">
        <v>220</v>
      </c>
      <c r="AO445" s="29">
        <v>1</v>
      </c>
      <c r="AP445" s="29">
        <v>300</v>
      </c>
      <c r="AQ445" s="14" t="s">
        <v>623</v>
      </c>
      <c r="AR445" s="1" t="s">
        <v>1922</v>
      </c>
    </row>
    <row r="446" spans="1:44" ht="15" x14ac:dyDescent="0.25">
      <c r="A446" s="28" t="s">
        <v>1923</v>
      </c>
      <c r="B446" s="29" t="s">
        <v>1924</v>
      </c>
      <c r="C446" s="29" t="s">
        <v>1925</v>
      </c>
      <c r="D446" s="1" t="str">
        <f t="shared" si="25"/>
        <v>Documents\GitHub\Ozon_upload\barcode\amazing pics\Термонаклейка Аниме девочка черные очки язык.pdf</v>
      </c>
      <c r="E446" s="30" t="str">
        <f>CONCATENATE("C:\Users\",username!A30,"\Documents\GitHub\Ozon_upload\DTF_images\tatyana\A4\set1\",C446,".tif")</f>
        <v>C:\Users\maxim\Documents\GitHub\Ozon_upload\DTF_images\tatyana\A4\set1\girl_explicit_gf11_vert.tif</v>
      </c>
      <c r="F446" s="29">
        <v>1</v>
      </c>
      <c r="G446" s="29">
        <v>1</v>
      </c>
      <c r="H446" s="29"/>
      <c r="I446" s="29" t="s">
        <v>1926</v>
      </c>
      <c r="J446" s="29"/>
      <c r="K446" s="29" t="s">
        <v>1075</v>
      </c>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v>33</v>
      </c>
      <c r="AN446" s="29">
        <v>220</v>
      </c>
      <c r="AO446" s="29">
        <v>1</v>
      </c>
      <c r="AP446" s="29">
        <v>300</v>
      </c>
      <c r="AQ446" s="14" t="s">
        <v>628</v>
      </c>
      <c r="AR446" s="1" t="s">
        <v>1927</v>
      </c>
    </row>
    <row r="447" spans="1:44" ht="15" x14ac:dyDescent="0.25">
      <c r="A447" s="28" t="s">
        <v>1928</v>
      </c>
      <c r="B447" s="29" t="s">
        <v>1929</v>
      </c>
      <c r="C447" s="29" t="s">
        <v>1930</v>
      </c>
      <c r="D447" s="1" t="str">
        <f t="shared" si="25"/>
        <v>Documents\GitHub\Ozon_upload\barcode\amazing pics\Термонаклейка Девушка гладиолус цветы.pdf</v>
      </c>
      <c r="E447" s="30" t="str">
        <f>CONCATENATE("C:\Users\",username!A31,"\Documents\GitHub\Ozon_upload\DTF_images\tatyana\A4\set1\",C447,".tif")</f>
        <v>C:\Users\maxim\Documents\GitHub\Ozon_upload\DTF_images\tatyana\A4\set1\girl_flower_af11_vert.tif</v>
      </c>
      <c r="F447" s="29">
        <v>1</v>
      </c>
      <c r="G447" s="29">
        <v>1</v>
      </c>
      <c r="H447" s="29"/>
      <c r="I447" s="29" t="s">
        <v>1931</v>
      </c>
      <c r="J447" s="29"/>
      <c r="K447" s="29" t="s">
        <v>1075</v>
      </c>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v>33</v>
      </c>
      <c r="AN447" s="29">
        <v>220</v>
      </c>
      <c r="AO447" s="29">
        <v>1</v>
      </c>
      <c r="AP447" s="29">
        <v>300</v>
      </c>
      <c r="AQ447" s="14" t="s">
        <v>623</v>
      </c>
      <c r="AR447" s="1" t="s">
        <v>1932</v>
      </c>
    </row>
    <row r="448" spans="1:44" ht="15" x14ac:dyDescent="0.25">
      <c r="A448" s="28" t="s">
        <v>1933</v>
      </c>
      <c r="B448" s="29" t="s">
        <v>1934</v>
      </c>
      <c r="C448" s="29" t="s">
        <v>1935</v>
      </c>
      <c r="D448" s="1" t="str">
        <f t="shared" si="25"/>
        <v>Documents\GitHub\Ozon_upload\barcode\amazing pics\Термонаклейка Девушка холст растут цветы.pdf</v>
      </c>
      <c r="E448" s="30" t="str">
        <f>CONCATENATE("C:\Users\",username!A32,"\Documents\GitHub\Ozon_upload\DTF_images\tatyana\A4\set1\",C448,".tif")</f>
        <v>C:\Users\maxim\Documents\GitHub\Ozon_upload\DTF_images\tatyana\A4\set1\girl_flowers_gf11_vert.tif</v>
      </c>
      <c r="F448" s="29">
        <v>1</v>
      </c>
      <c r="G448" s="29">
        <v>1</v>
      </c>
      <c r="H448" s="29"/>
      <c r="I448" s="32" t="s">
        <v>1936</v>
      </c>
      <c r="J448" s="29"/>
      <c r="K448" s="29" t="s">
        <v>1075</v>
      </c>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v>33</v>
      </c>
      <c r="AN448" s="29">
        <v>220</v>
      </c>
      <c r="AO448" s="29">
        <v>1</v>
      </c>
      <c r="AP448" s="29">
        <v>300</v>
      </c>
      <c r="AQ448" s="14" t="s">
        <v>623</v>
      </c>
      <c r="AR448" s="1" t="s">
        <v>1937</v>
      </c>
    </row>
    <row r="449" spans="1:44" ht="15" x14ac:dyDescent="0.25">
      <c r="A449" s="28" t="s">
        <v>1938</v>
      </c>
      <c r="B449" s="29" t="s">
        <v>1939</v>
      </c>
      <c r="C449" s="29" t="s">
        <v>1940</v>
      </c>
      <c r="D449" s="1" t="str">
        <f t="shared" si="25"/>
        <v>Documents\GitHub\Ozon_upload\barcode\amazing pics\Термонаклейка Девушка на закате держат руки море.pdf</v>
      </c>
      <c r="E449" s="30" t="str">
        <f>CONCATENATE("C:\Users\",username!A33,"\Documents\GitHub\Ozon_upload\DTF_images\tatyana\A4\set1\",C449,".tif")</f>
        <v>C:\Users\maxim\Documents\GitHub\Ozon_upload\DTF_images\tatyana\A4\set1\girl_hold_hands_gf11_vert.tif</v>
      </c>
      <c r="F449" s="29">
        <v>1</v>
      </c>
      <c r="G449" s="29">
        <v>1</v>
      </c>
      <c r="H449" s="29"/>
      <c r="I449" s="29" t="s">
        <v>1941</v>
      </c>
      <c r="J449" s="29"/>
      <c r="K449" s="29" t="s">
        <v>1075</v>
      </c>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v>33</v>
      </c>
      <c r="AN449" s="29">
        <v>220</v>
      </c>
      <c r="AO449" s="29">
        <v>1</v>
      </c>
      <c r="AP449" s="29">
        <v>300</v>
      </c>
      <c r="AQ449" s="14" t="s">
        <v>623</v>
      </c>
      <c r="AR449" s="1" t="s">
        <v>1942</v>
      </c>
    </row>
    <row r="450" spans="1:44" ht="15" x14ac:dyDescent="0.25">
      <c r="A450" s="28" t="s">
        <v>1943</v>
      </c>
      <c r="B450" s="29" t="s">
        <v>1944</v>
      </c>
      <c r="C450" s="29" t="s">
        <v>1945</v>
      </c>
      <c r="D450" s="1" t="str">
        <f t="shared" si="25"/>
        <v>Documents\GitHub\Ozon_upload\barcode\amazing pics\Термонаклейка Леопардовое сердце розовое.pdf</v>
      </c>
      <c r="E450" s="30" t="str">
        <f>CONCATENATE("C:\Users\",username!A34,"\Documents\GitHub\Ozon_upload\DTF_images\tatyana\A4\set1\",C450,".tif")</f>
        <v>C:\Users\maxim\Documents\GitHub\Ozon_upload\DTF_images\tatyana\A4\set1\heart_ab11_tat_horiz.tif</v>
      </c>
      <c r="F450" s="29">
        <v>0</v>
      </c>
      <c r="G450" s="29">
        <v>1</v>
      </c>
      <c r="H450" s="29"/>
      <c r="I450" s="29" t="s">
        <v>1946</v>
      </c>
      <c r="J450" s="29"/>
      <c r="K450" s="29" t="s">
        <v>1075</v>
      </c>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v>33</v>
      </c>
      <c r="AN450" s="29">
        <v>220</v>
      </c>
      <c r="AO450" s="29">
        <v>1</v>
      </c>
      <c r="AP450" s="29">
        <v>300</v>
      </c>
      <c r="AQ450" s="14" t="s">
        <v>623</v>
      </c>
      <c r="AR450" s="1" t="s">
        <v>1947</v>
      </c>
    </row>
    <row r="451" spans="1:44" ht="15" x14ac:dyDescent="0.25">
      <c r="A451" s="28" t="s">
        <v>1948</v>
      </c>
      <c r="B451" s="29" t="s">
        <v>1949</v>
      </c>
      <c r="C451" s="29" t="s">
        <v>1950</v>
      </c>
      <c r="D451" s="1" t="str">
        <f t="shared" si="25"/>
        <v>Documents\GitHub\Ozon_upload\barcode\amazing pics\Термонаклейка Сердце отпечаток пальца красный.pdf</v>
      </c>
      <c r="E451" s="30" t="str">
        <f>CONCATENATE("C:\Users\",username!A35,"\Documents\GitHub\Ozon_upload\DTF_images\tatyana\A4\set1\",C451,".tif")</f>
        <v>C:\Users\maxim\Documents\GitHub\Ozon_upload\DTF_images\tatyana\A4\set1\heart_ff11_tat_horiz.tif</v>
      </c>
      <c r="F451" s="29">
        <v>0</v>
      </c>
      <c r="G451" s="29">
        <v>1</v>
      </c>
      <c r="H451" s="29"/>
      <c r="I451" s="29" t="s">
        <v>1951</v>
      </c>
      <c r="J451" s="29"/>
      <c r="K451" s="29" t="s">
        <v>1075</v>
      </c>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v>33</v>
      </c>
      <c r="AN451" s="29">
        <v>220</v>
      </c>
      <c r="AO451" s="29">
        <v>1</v>
      </c>
      <c r="AP451" s="29">
        <v>300</v>
      </c>
      <c r="AQ451" s="14" t="s">
        <v>623</v>
      </c>
      <c r="AR451" s="1" t="s">
        <v>1952</v>
      </c>
    </row>
    <row r="452" spans="1:44" ht="15" x14ac:dyDescent="0.25">
      <c r="A452" s="28" t="s">
        <v>1953</v>
      </c>
      <c r="B452" s="29" t="s">
        <v>1954</v>
      </c>
      <c r="C452" s="29" t="s">
        <v>1955</v>
      </c>
      <c r="D452" s="1" t="str">
        <f t="shared" si="25"/>
        <v>Documents\GitHub\Ozon_upload\barcode\amazing pics\Термонаклейка Девушка макияж Хэллоуин.pdf</v>
      </c>
      <c r="E452" s="30" t="str">
        <f>CONCATENATE("C:\Users\",username!A36,"\Documents\GitHub\Ozon_upload\DTF_images\tatyana\A4\set1\",C452,".tif")</f>
        <v>C:\Users\maxim\Documents\GitHub\Ozon_upload\DTF_images\tatyana\A4\set1\hellowing_q12_vert.tif</v>
      </c>
      <c r="F452" s="29">
        <v>1</v>
      </c>
      <c r="G452" s="29">
        <v>1</v>
      </c>
      <c r="H452" s="29"/>
      <c r="I452" s="29" t="s">
        <v>1956</v>
      </c>
      <c r="J452" s="29"/>
      <c r="K452" s="29" t="s">
        <v>1075</v>
      </c>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v>33</v>
      </c>
      <c r="AN452" s="29">
        <v>220</v>
      </c>
      <c r="AO452" s="29">
        <v>1</v>
      </c>
      <c r="AP452" s="29">
        <v>300</v>
      </c>
      <c r="AQ452" s="14" t="s">
        <v>623</v>
      </c>
      <c r="AR452" s="1" t="s">
        <v>1957</v>
      </c>
    </row>
    <row r="453" spans="1:44" ht="15" x14ac:dyDescent="0.25">
      <c r="A453" s="28" t="s">
        <v>1958</v>
      </c>
      <c r="B453" s="29" t="s">
        <v>1959</v>
      </c>
      <c r="C453" s="29" t="s">
        <v>1960</v>
      </c>
      <c r="D453" s="1" t="str">
        <f t="shared" si="25"/>
        <v>Documents\GitHub\Ozon_upload\barcode\amazing pics\Термонаклейка Девушка силует обнимают природа.pdf</v>
      </c>
      <c r="E453" s="30" t="str">
        <f>CONCATENATE("C:\Users\",username!A37,"\Documents\GitHub\Ozon_upload\DTF_images\tatyana\A4\set1\",C453,".tif")</f>
        <v>C:\Users\maxim\Documents\GitHub\Ozon_upload\DTF_images\tatyana\A4\set1\lady_back_gf11_vert.tif</v>
      </c>
      <c r="F453" s="29">
        <v>1</v>
      </c>
      <c r="G453" s="29">
        <v>1</v>
      </c>
      <c r="H453" s="29"/>
      <c r="I453" s="29" t="s">
        <v>1961</v>
      </c>
      <c r="J453" s="29"/>
      <c r="K453" s="29" t="s">
        <v>1075</v>
      </c>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v>33</v>
      </c>
      <c r="AN453" s="29">
        <v>220</v>
      </c>
      <c r="AO453" s="29">
        <v>1</v>
      </c>
      <c r="AP453" s="29">
        <v>300</v>
      </c>
      <c r="AQ453" s="14" t="s">
        <v>623</v>
      </c>
      <c r="AR453" s="1" t="s">
        <v>1962</v>
      </c>
    </row>
    <row r="454" spans="1:44" ht="15" x14ac:dyDescent="0.25">
      <c r="A454" s="28" t="s">
        <v>1963</v>
      </c>
      <c r="B454" s="29" t="s">
        <v>1964</v>
      </c>
      <c r="C454" s="29" t="s">
        <v>1965</v>
      </c>
      <c r="D454" s="1" t="str">
        <f t="shared" si="25"/>
        <v>Documents\GitHub\Ozon_upload\barcode\amazing pics\Термонаклейка Лев Краски Дизайн.pdf</v>
      </c>
      <c r="E454" s="30" t="str">
        <f>CONCATENATE("C:\Users\",username!A38,"\Documents\GitHub\Ozon_upload\DTF_images\tatyana\A4\set1\",C454,".tif")</f>
        <v>C:\Users\maxim\Documents\GitHub\Ozon_upload\DTF_images\tatyana\A4\set1\lion_dd45_tat_vert.tif</v>
      </c>
      <c r="F454" s="29">
        <v>1</v>
      </c>
      <c r="G454" s="29">
        <v>1</v>
      </c>
      <c r="H454" s="29"/>
      <c r="I454" s="29" t="s">
        <v>1966</v>
      </c>
      <c r="J454" s="29"/>
      <c r="K454" s="29" t="s">
        <v>1075</v>
      </c>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v>33</v>
      </c>
      <c r="AN454" s="29">
        <v>220</v>
      </c>
      <c r="AO454" s="29">
        <v>1</v>
      </c>
      <c r="AP454" s="29">
        <v>300</v>
      </c>
      <c r="AQ454" s="14" t="s">
        <v>623</v>
      </c>
      <c r="AR454" s="1" t="s">
        <v>1967</v>
      </c>
    </row>
    <row r="455" spans="1:44" ht="15" x14ac:dyDescent="0.25">
      <c r="A455" s="28" t="s">
        <v>1968</v>
      </c>
      <c r="B455" s="29" t="s">
        <v>1969</v>
      </c>
      <c r="C455" s="29" t="s">
        <v>1970</v>
      </c>
      <c r="D455" s="1" t="str">
        <f t="shared" si="25"/>
        <v>Documents\GitHub\Ozon_upload\barcode\amazing pics\Термонаклейка Губы Язык Краски Дизайн.pdf</v>
      </c>
      <c r="E455" s="30" t="str">
        <f>CONCATENATE("C:\Users\",username!A39,"\Documents\GitHub\Ozon_upload\DTF_images\tatyana\A4\set1\",C455,".tif")</f>
        <v>C:\Users\maxim\Documents\GitHub\Ozon_upload\DTF_images\tatyana\A4\set1\lips_ss11_tat_vert.tif</v>
      </c>
      <c r="F455" s="29">
        <v>0</v>
      </c>
      <c r="G455" s="29">
        <v>1</v>
      </c>
      <c r="H455" s="29"/>
      <c r="I455" s="29" t="s">
        <v>1971</v>
      </c>
      <c r="J455" s="29"/>
      <c r="K455" s="29" t="s">
        <v>1075</v>
      </c>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v>33</v>
      </c>
      <c r="AN455" s="29">
        <v>220</v>
      </c>
      <c r="AO455" s="29">
        <v>1</v>
      </c>
      <c r="AP455" s="29">
        <v>300</v>
      </c>
      <c r="AQ455" s="14" t="s">
        <v>628</v>
      </c>
      <c r="AR455" s="1" t="s">
        <v>1972</v>
      </c>
    </row>
    <row r="456" spans="1:44" ht="15" x14ac:dyDescent="0.25">
      <c r="A456" s="28" t="s">
        <v>1973</v>
      </c>
      <c r="B456" s="29" t="s">
        <v>1974</v>
      </c>
      <c r="C456" s="29" t="s">
        <v>1975</v>
      </c>
      <c r="D456" s="1" t="str">
        <f t="shared" si="25"/>
        <v>Documents\GitHub\Ozon_upload\barcode\amazing pics\Термонаклейка Мэрилин Монро Поп арт жвачка.pdf</v>
      </c>
      <c r="E456" s="30" t="str">
        <f>CONCATENATE("C:\Users\",username!A40,"\Documents\GitHub\Ozon_upload\DTF_images\tatyana\A4\set1\",C456,".tif")</f>
        <v>C:\Users\maxim\Documents\GitHub\Ozon_upload\DTF_images\tatyana\A4\set1\marylin_monroe_af11_vert.tif</v>
      </c>
      <c r="F456" s="29">
        <v>1</v>
      </c>
      <c r="G456" s="29">
        <v>1</v>
      </c>
      <c r="H456" s="29"/>
      <c r="I456" s="29" t="s">
        <v>1976</v>
      </c>
      <c r="J456" s="29"/>
      <c r="K456" s="29" t="s">
        <v>1075</v>
      </c>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v>33</v>
      </c>
      <c r="AN456" s="29">
        <v>220</v>
      </c>
      <c r="AO456" s="29">
        <v>1</v>
      </c>
      <c r="AP456" s="29">
        <v>300</v>
      </c>
      <c r="AQ456" s="14" t="s">
        <v>623</v>
      </c>
      <c r="AR456" s="1" t="s">
        <v>1977</v>
      </c>
    </row>
    <row r="457" spans="1:44" ht="15" x14ac:dyDescent="0.25">
      <c r="A457" s="28" t="s">
        <v>1978</v>
      </c>
      <c r="B457" s="29" t="s">
        <v>1979</v>
      </c>
      <c r="C457" s="29" t="s">
        <v>1980</v>
      </c>
      <c r="D457" s="1" t="str">
        <f t="shared" si="25"/>
        <v>Documents\GitHub\Ozon_upload\barcode\amazing pics\Термонаклейка Сейлор Мун Sailor Moon радуется.pdf</v>
      </c>
      <c r="E457" s="30" t="str">
        <f>CONCATENATE("C:\Users\",username!A41,"\Documents\GitHub\Ozon_upload\DTF_images\tatyana\A4\set1\",C457,".tif")</f>
        <v>C:\Users\maxim\Documents\GitHub\Ozon_upload\DTF_images\tatyana\A4\set1\sailor_moon_as14_vert.tif</v>
      </c>
      <c r="F457" s="29">
        <v>1</v>
      </c>
      <c r="G457" s="29">
        <v>1</v>
      </c>
      <c r="H457" s="29"/>
      <c r="I457" s="29" t="s">
        <v>1981</v>
      </c>
      <c r="J457" s="29"/>
      <c r="K457" s="29" t="s">
        <v>1075</v>
      </c>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v>33</v>
      </c>
      <c r="AN457" s="29">
        <v>220</v>
      </c>
      <c r="AO457" s="29">
        <v>1</v>
      </c>
      <c r="AP457" s="29">
        <v>300</v>
      </c>
      <c r="AQ457" s="14" t="s">
        <v>623</v>
      </c>
      <c r="AR457" s="1" t="s">
        <v>1982</v>
      </c>
    </row>
    <row r="458" spans="1:44" ht="15" x14ac:dyDescent="0.25">
      <c r="A458" s="28" t="s">
        <v>1983</v>
      </c>
      <c r="B458" s="29" t="s">
        <v>1984</v>
      </c>
      <c r="C458" s="29" t="s">
        <v>1985</v>
      </c>
      <c r="D458" s="1" t="str">
        <f t="shared" ref="D458:D521" si="26">CONCATENATE("Documents\GitHub\Ozon_upload\barcode\amazing pics\", A458, ".pdf")</f>
        <v>Documents\GitHub\Ozon_upload\barcode\amazing pics\Термонаклейка Сейлор Мун Sailor Moon голубой фон.pdf</v>
      </c>
      <c r="E458" s="30" t="str">
        <f>CONCATENATE("C:\Users\",username!A42,"\Documents\GitHub\Ozon_upload\DTF_images\tatyana\A4\set1\",C458,".tif")</f>
        <v>C:\Users\maxim\Documents\GitHub\Ozon_upload\DTF_images\tatyana\A4\set1\sailor_moon_q12_vert.tif</v>
      </c>
      <c r="F458" s="29">
        <v>1</v>
      </c>
      <c r="G458" s="29">
        <v>1</v>
      </c>
      <c r="H458" s="29"/>
      <c r="I458" s="29" t="s">
        <v>1986</v>
      </c>
      <c r="J458" s="29"/>
      <c r="K458" s="29" t="s">
        <v>1075</v>
      </c>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v>33</v>
      </c>
      <c r="AN458" s="29">
        <v>220</v>
      </c>
      <c r="AO458" s="29">
        <v>1</v>
      </c>
      <c r="AP458" s="29">
        <v>300</v>
      </c>
      <c r="AQ458" s="14" t="s">
        <v>623</v>
      </c>
      <c r="AR458" s="1" t="s">
        <v>1987</v>
      </c>
    </row>
    <row r="459" spans="1:44" ht="15" x14ac:dyDescent="0.25">
      <c r="A459" s="28" t="s">
        <v>1988</v>
      </c>
      <c r="B459" s="29" t="s">
        <v>1989</v>
      </c>
      <c r="C459" s="29" t="s">
        <v>1990</v>
      </c>
      <c r="D459" s="1" t="str">
        <f t="shared" si="26"/>
        <v>Documents\GitHub\Ozon_upload\barcode\amazing pics\Термонаклейка Тигр Краски Дизайн.pdf</v>
      </c>
      <c r="E459" s="30" t="str">
        <f>CONCATENATE("C:\Users\",username!A43,"\Documents\GitHub\Ozon_upload\DTF_images\tatyana\A4\set1\",C459,".tif")</f>
        <v>C:\Users\maxim\Documents\GitHub\Ozon_upload\DTF_images\tatyana\A4\set1\tiger_gg11_vert.tif</v>
      </c>
      <c r="F459" s="29">
        <v>1</v>
      </c>
      <c r="G459" s="29">
        <v>1</v>
      </c>
      <c r="H459" s="29"/>
      <c r="I459" s="29" t="s">
        <v>1991</v>
      </c>
      <c r="J459" s="29"/>
      <c r="K459" s="29" t="s">
        <v>1075</v>
      </c>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v>33</v>
      </c>
      <c r="AN459" s="29">
        <v>220</v>
      </c>
      <c r="AO459" s="29">
        <v>1</v>
      </c>
      <c r="AP459" s="29">
        <v>300</v>
      </c>
      <c r="AQ459" s="14" t="s">
        <v>623</v>
      </c>
      <c r="AR459" s="1" t="s">
        <v>1992</v>
      </c>
    </row>
    <row r="460" spans="1:44" ht="15" x14ac:dyDescent="0.25">
      <c r="A460" s="28" t="s">
        <v>1993</v>
      </c>
      <c r="B460" s="29" t="s">
        <v>1994</v>
      </c>
      <c r="C460" s="29" t="s">
        <v>1995</v>
      </c>
      <c r="D460" s="1" t="str">
        <f t="shared" si="26"/>
        <v>Documents\GitHub\Ozon_upload\barcode\amazing pics\Термонаклейка Морская Черепаха Море силует.pdf</v>
      </c>
      <c r="E460" s="30" t="str">
        <f>CONCATENATE("C:\Users\",username!A44,"\Documents\GitHub\Ozon_upload\DTF_images\tatyana\A4\set1\",C460,".tif")</f>
        <v>C:\Users\maxim\Documents\GitHub\Ozon_upload\DTF_images\tatyana\A4\set1\turtle_sd12_tat_vert.tif</v>
      </c>
      <c r="F460" s="29">
        <v>1</v>
      </c>
      <c r="G460" s="29">
        <v>1</v>
      </c>
      <c r="H460" s="29"/>
      <c r="I460" s="29" t="s">
        <v>1996</v>
      </c>
      <c r="J460" s="29"/>
      <c r="K460" s="29" t="s">
        <v>1075</v>
      </c>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v>33</v>
      </c>
      <c r="AN460" s="29">
        <v>220</v>
      </c>
      <c r="AO460" s="29">
        <v>1</v>
      </c>
      <c r="AP460" s="29">
        <v>300</v>
      </c>
      <c r="AQ460" s="14" t="s">
        <v>623</v>
      </c>
      <c r="AR460" s="1" t="s">
        <v>1997</v>
      </c>
    </row>
    <row r="461" spans="1:44" ht="15" x14ac:dyDescent="0.25">
      <c r="A461" s="28" t="s">
        <v>1998</v>
      </c>
      <c r="B461" s="29" t="s">
        <v>1999</v>
      </c>
      <c r="C461" s="29" t="s">
        <v>2000</v>
      </c>
      <c r="D461" s="1" t="str">
        <f t="shared" si="26"/>
        <v>Documents\GitHub\Ozon_upload\barcode\amazing pics\Термонаклейка Мэрилин Монро буквы.pdf</v>
      </c>
      <c r="E461" s="29" t="str">
        <f>CONCATENATE("C:\Users\",username!A44,"\Documents\GitHub\Ozon_upload\DTF_images\tatyana\A4\set2\",C461,".tif")</f>
        <v>C:\Users\maxim\Documents\GitHub\Ozon_upload\DTF_images\tatyana\A4\set2\1_vert.tif</v>
      </c>
      <c r="F461" s="29">
        <v>1</v>
      </c>
      <c r="G461" s="29">
        <v>1</v>
      </c>
      <c r="H461" s="29"/>
      <c r="I461" s="29" t="s">
        <v>2001</v>
      </c>
      <c r="J461" s="29"/>
      <c r="K461" s="29" t="s">
        <v>1075</v>
      </c>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v>33</v>
      </c>
      <c r="AN461" s="29">
        <v>220</v>
      </c>
      <c r="AO461" s="29">
        <v>1</v>
      </c>
      <c r="AP461" s="29">
        <v>300</v>
      </c>
      <c r="AQ461" s="14" t="s">
        <v>623</v>
      </c>
      <c r="AR461" s="1" t="s">
        <v>2002</v>
      </c>
    </row>
    <row r="462" spans="1:44" ht="15" x14ac:dyDescent="0.25">
      <c r="A462" s="28" t="s">
        <v>2003</v>
      </c>
      <c r="B462" s="29" t="s">
        <v>2004</v>
      </c>
      <c r="C462" s="29" t="s">
        <v>2005</v>
      </c>
      <c r="D462" s="1" t="str">
        <f t="shared" si="26"/>
        <v>Documents\GitHub\Ozon_upload\barcode\amazing pics\Термонаклейка Одри Хепбёрн буквы.pdf</v>
      </c>
      <c r="E462" s="29" t="str">
        <f>CONCATENATE("C:\Users\",username!A45,"\Documents\GitHub\Ozon_upload\DTF_images\tatyana\A4\set2\",C462,".tif")</f>
        <v>C:\Users\maxim\Documents\GitHub\Ozon_upload\DTF_images\tatyana\A4\set2\2_vert.tif</v>
      </c>
      <c r="F462" s="29">
        <v>1</v>
      </c>
      <c r="G462" s="29">
        <v>1</v>
      </c>
      <c r="H462" s="29"/>
      <c r="I462" s="29" t="s">
        <v>2006</v>
      </c>
      <c r="J462" s="29"/>
      <c r="K462" s="29" t="s">
        <v>1075</v>
      </c>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v>33</v>
      </c>
      <c r="AN462" s="29">
        <v>220</v>
      </c>
      <c r="AO462" s="29">
        <v>1</v>
      </c>
      <c r="AP462" s="29">
        <v>300</v>
      </c>
      <c r="AQ462" s="14" t="s">
        <v>623</v>
      </c>
      <c r="AR462" s="1" t="s">
        <v>2007</v>
      </c>
    </row>
    <row r="463" spans="1:44" ht="15" x14ac:dyDescent="0.25">
      <c r="A463" s="28" t="s">
        <v>2008</v>
      </c>
      <c r="B463" s="29" t="s">
        <v>2009</v>
      </c>
      <c r="C463" s="29" t="s">
        <v>2010</v>
      </c>
      <c r="D463" s="1" t="str">
        <f t="shared" si="26"/>
        <v>Documents\GitHub\Ozon_upload\barcode\amazing pics\Термонаклейка Мэрилин Монро геометрия.pdf</v>
      </c>
      <c r="E463" s="29" t="str">
        <f>CONCATENATE("C:\Users\",username!A46,"\Documents\GitHub\Ozon_upload\DTF_images\tatyana\A4\set2\",C463,".tif")</f>
        <v>C:\Users\maxim\Documents\GitHub\Ozon_upload\DTF_images\tatyana\A4\set2\3_vert.tif</v>
      </c>
      <c r="F463" s="29">
        <v>1</v>
      </c>
      <c r="G463" s="29">
        <v>1</v>
      </c>
      <c r="H463" s="29"/>
      <c r="I463" s="29" t="s">
        <v>2011</v>
      </c>
      <c r="J463" s="29"/>
      <c r="K463" s="29" t="s">
        <v>1075</v>
      </c>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v>33</v>
      </c>
      <c r="AN463" s="29">
        <v>220</v>
      </c>
      <c r="AO463" s="29">
        <v>1</v>
      </c>
      <c r="AP463" s="29">
        <v>300</v>
      </c>
      <c r="AQ463" s="14" t="s">
        <v>628</v>
      </c>
      <c r="AR463" s="1" t="s">
        <v>2012</v>
      </c>
    </row>
    <row r="464" spans="1:44" ht="15" x14ac:dyDescent="0.25">
      <c r="A464" s="28" t="s">
        <v>2013</v>
      </c>
      <c r="B464" s="29" t="s">
        <v>2014</v>
      </c>
      <c r="C464" s="29" t="s">
        <v>2015</v>
      </c>
      <c r="D464" s="1" t="str">
        <f t="shared" si="26"/>
        <v>Documents\GitHub\Ozon_upload\barcode\amazing pics\Термонаклейка Цветы Желтый Мак.pdf</v>
      </c>
      <c r="E464" s="29" t="str">
        <f>CONCATENATE("C:\Users\",username!A47,"\Documents\GitHub\Ozon_upload\DTF_images\tatyana\A4\set2\",C464,".tif")</f>
        <v>C:\Users\maxim\Documents\GitHub\Ozon_upload\DTF_images\tatyana\A4\set2\4_vert.tif</v>
      </c>
      <c r="F464" s="29">
        <v>1</v>
      </c>
      <c r="G464" s="29">
        <v>1</v>
      </c>
      <c r="H464" s="29"/>
      <c r="I464" s="29" t="s">
        <v>2016</v>
      </c>
      <c r="J464" s="29"/>
      <c r="K464" s="29" t="s">
        <v>1075</v>
      </c>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v>33</v>
      </c>
      <c r="AN464" s="29">
        <v>220</v>
      </c>
      <c r="AO464" s="29">
        <v>1</v>
      </c>
      <c r="AP464" s="29">
        <v>300</v>
      </c>
      <c r="AQ464" s="14" t="s">
        <v>623</v>
      </c>
      <c r="AR464" s="1" t="s">
        <v>2017</v>
      </c>
    </row>
    <row r="465" spans="1:44" ht="15" x14ac:dyDescent="0.25">
      <c r="A465" s="28" t="s">
        <v>2018</v>
      </c>
      <c r="B465" s="29" t="s">
        <v>2019</v>
      </c>
      <c r="C465" s="29" t="s">
        <v>2020</v>
      </c>
      <c r="D465" s="1" t="str">
        <f t="shared" si="26"/>
        <v>Documents\GitHub\Ozon_upload\barcode\amazing pics\Термонаклейка Цветы Розовые Лилии.pdf</v>
      </c>
      <c r="E465" s="29" t="str">
        <f>CONCATENATE("C:\Users\",username!A48,"\Documents\GitHub\Ozon_upload\DTF_images\tatyana\A4\set2\",C465,".tif")</f>
        <v>C:\Users\maxim\Documents\GitHub\Ozon_upload\DTF_images\tatyana\A4\set2\5_vert.tif</v>
      </c>
      <c r="F465" s="29">
        <v>1</v>
      </c>
      <c r="G465" s="29">
        <v>1</v>
      </c>
      <c r="H465" s="29"/>
      <c r="I465" s="29" t="s">
        <v>2021</v>
      </c>
      <c r="J465" s="29"/>
      <c r="K465" s="29" t="s">
        <v>1075</v>
      </c>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v>33</v>
      </c>
      <c r="AN465" s="29">
        <v>220</v>
      </c>
      <c r="AO465" s="29">
        <v>1</v>
      </c>
      <c r="AP465" s="29">
        <v>300</v>
      </c>
      <c r="AQ465" s="14" t="s">
        <v>623</v>
      </c>
      <c r="AR465" s="1" t="s">
        <v>2022</v>
      </c>
    </row>
    <row r="466" spans="1:44" ht="15" x14ac:dyDescent="0.25">
      <c r="A466" s="31" t="s">
        <v>2023</v>
      </c>
      <c r="B466" s="29" t="s">
        <v>2024</v>
      </c>
      <c r="C466" s="29" t="s">
        <v>2025</v>
      </c>
      <c r="D466" s="1" t="str">
        <f t="shared" si="26"/>
        <v>Documents\GitHub\Ozon_upload\barcode\amazing pics\Термонаклейка Инь Янь Кошки.pdf</v>
      </c>
      <c r="E466" s="29" t="str">
        <f>CONCATENATE("C:\Users\",username!A49,"\Documents\GitHub\Ozon_upload\DTF_images\tatyana\A4\set2\",C466,".tif")</f>
        <v>C:\Users\maxim\Documents\GitHub\Ozon_upload\DTF_images\tatyana\A4\set2\6_vert.tif</v>
      </c>
      <c r="F466" s="29">
        <v>1</v>
      </c>
      <c r="G466" s="29">
        <v>1</v>
      </c>
      <c r="H466" s="29"/>
      <c r="I466" s="29" t="s">
        <v>2026</v>
      </c>
      <c r="J466" s="29"/>
      <c r="K466" s="29" t="s">
        <v>1075</v>
      </c>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v>33</v>
      </c>
      <c r="AN466" s="29">
        <v>220</v>
      </c>
      <c r="AO466" s="29">
        <v>1</v>
      </c>
      <c r="AP466" s="29">
        <v>300</v>
      </c>
      <c r="AQ466" s="14" t="s">
        <v>623</v>
      </c>
      <c r="AR466" s="1" t="s">
        <v>2027</v>
      </c>
    </row>
    <row r="467" spans="1:44" ht="15" x14ac:dyDescent="0.25">
      <c r="A467" s="31" t="s">
        <v>2028</v>
      </c>
      <c r="B467" s="29" t="s">
        <v>2029</v>
      </c>
      <c r="C467" s="29" t="s">
        <v>2030</v>
      </c>
      <c r="D467" s="1" t="str">
        <f t="shared" si="26"/>
        <v>Documents\GitHub\Ozon_upload\barcode\amazing pics\Термонаклейка Лес Гитара Закат.pdf</v>
      </c>
      <c r="E467" s="29" t="str">
        <f>CONCATENATE("C:\Users\",username!A50,"\Documents\GitHub\Ozon_upload\DTF_images\tatyana\A4\set2\",C467,".tif")</f>
        <v>C:\Users\maxim\Documents\GitHub\Ozon_upload\DTF_images\tatyana\A4\set2\7_horiz.tif</v>
      </c>
      <c r="F467" s="29">
        <v>0</v>
      </c>
      <c r="G467" s="29">
        <v>1</v>
      </c>
      <c r="H467" s="29"/>
      <c r="I467" s="32" t="s">
        <v>2031</v>
      </c>
      <c r="J467" s="29"/>
      <c r="K467" s="29" t="s">
        <v>1075</v>
      </c>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v>33</v>
      </c>
      <c r="AN467" s="29">
        <v>220</v>
      </c>
      <c r="AO467" s="29">
        <v>1</v>
      </c>
      <c r="AP467" s="29">
        <v>300</v>
      </c>
      <c r="AQ467" s="14" t="s">
        <v>623</v>
      </c>
      <c r="AR467" s="1" t="s">
        <v>2032</v>
      </c>
    </row>
    <row r="468" spans="1:44" ht="15" x14ac:dyDescent="0.25">
      <c r="A468" s="31" t="s">
        <v>2033</v>
      </c>
      <c r="B468" s="29" t="s">
        <v>2034</v>
      </c>
      <c r="C468" s="29" t="s">
        <v>2035</v>
      </c>
      <c r="D468" s="1" t="str">
        <f t="shared" si="26"/>
        <v>Documents\GitHub\Ozon_upload\barcode\amazing pics\Термонаклейка Девушка лицо крылья.pdf</v>
      </c>
      <c r="E468" s="29" t="str">
        <f>CONCATENATE("C:\Users\",username!A51,"\Documents\GitHub\Ozon_upload\DTF_images\tatyana\A4\set2\",C468,".tif")</f>
        <v>C:\Users\maxim\Documents\GitHub\Ozon_upload\DTF_images\tatyana\A4\set2\8_vert.tif</v>
      </c>
      <c r="F468" s="29">
        <v>1</v>
      </c>
      <c r="G468" s="29">
        <v>1</v>
      </c>
      <c r="H468" s="29"/>
      <c r="I468" s="32" t="s">
        <v>2036</v>
      </c>
      <c r="J468" s="29"/>
      <c r="K468" s="29" t="s">
        <v>1075</v>
      </c>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v>33</v>
      </c>
      <c r="AN468" s="29">
        <v>220</v>
      </c>
      <c r="AO468" s="29">
        <v>1</v>
      </c>
      <c r="AP468" s="29">
        <v>300</v>
      </c>
      <c r="AQ468" s="14" t="s">
        <v>623</v>
      </c>
      <c r="AR468" s="1" t="s">
        <v>2037</v>
      </c>
    </row>
    <row r="469" spans="1:44" ht="15" x14ac:dyDescent="0.25">
      <c r="A469" s="28" t="s">
        <v>2038</v>
      </c>
      <c r="B469" s="29" t="s">
        <v>2039</v>
      </c>
      <c r="C469" s="29" t="s">
        <v>2040</v>
      </c>
      <c r="D469" s="1" t="str">
        <f t="shared" si="26"/>
        <v>Documents\GitHub\Ozon_upload\barcode\amazing pics\Термонаклейка Мэрилин Монро фото буквы.pdf</v>
      </c>
      <c r="E469" s="29" t="str">
        <f>CONCATENATE("C:\Users\",username!A52,"\Documents\GitHub\Ozon_upload\DTF_images\tatyana\A4\set2\",C469,".tif")</f>
        <v>C:\Users\maxim\Documents\GitHub\Ozon_upload\DTF_images\tatyana\A4\set2\9_vert.tif</v>
      </c>
      <c r="F469" s="29">
        <v>1</v>
      </c>
      <c r="G469" s="29">
        <v>1</v>
      </c>
      <c r="H469" s="29"/>
      <c r="I469" s="29" t="s">
        <v>2041</v>
      </c>
      <c r="J469" s="29"/>
      <c r="K469" s="29" t="s">
        <v>1075</v>
      </c>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v>33</v>
      </c>
      <c r="AN469" s="29">
        <v>220</v>
      </c>
      <c r="AO469" s="29">
        <v>1</v>
      </c>
      <c r="AP469" s="29">
        <v>300</v>
      </c>
      <c r="AQ469" s="14" t="s">
        <v>623</v>
      </c>
      <c r="AR469" s="1" t="s">
        <v>2042</v>
      </c>
    </row>
    <row r="470" spans="1:44" ht="15" x14ac:dyDescent="0.25">
      <c r="A470" s="31" t="s">
        <v>2043</v>
      </c>
      <c r="B470" s="29" t="s">
        <v>2044</v>
      </c>
      <c r="C470" s="29" t="s">
        <v>2045</v>
      </c>
      <c r="D470" s="1" t="str">
        <f t="shared" si="26"/>
        <v>Documents\GitHub\Ozon_upload\barcode\amazing pics\Термонаклейка Девушка месяц Ван Гог.pdf</v>
      </c>
      <c r="E470" s="29" t="str">
        <f>CONCATENATE("C:\Users\",username!A53,"\Documents\GitHub\Ozon_upload\DTF_images\tatyana\A4\set2\",C470,".tif")</f>
        <v>C:\Users\maxim\Documents\GitHub\Ozon_upload\DTF_images\tatyana\A4\set2\10_vert.tif</v>
      </c>
      <c r="F470" s="29">
        <v>1</v>
      </c>
      <c r="G470" s="29">
        <v>1</v>
      </c>
      <c r="H470" s="29"/>
      <c r="I470" s="29" t="s">
        <v>2046</v>
      </c>
      <c r="J470" s="29"/>
      <c r="K470" s="29" t="s">
        <v>1075</v>
      </c>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v>33</v>
      </c>
      <c r="AN470" s="29">
        <v>220</v>
      </c>
      <c r="AO470" s="29">
        <v>1</v>
      </c>
      <c r="AP470" s="29">
        <v>300</v>
      </c>
      <c r="AQ470" s="14" t="s">
        <v>623</v>
      </c>
      <c r="AR470" s="1" t="s">
        <v>2047</v>
      </c>
    </row>
    <row r="471" spans="1:44" ht="15" x14ac:dyDescent="0.25">
      <c r="A471" s="31" t="s">
        <v>2048</v>
      </c>
      <c r="B471" s="29" t="s">
        <v>2049</v>
      </c>
      <c r="C471" s="29" t="s">
        <v>2050</v>
      </c>
      <c r="D471" s="1" t="str">
        <f t="shared" si="26"/>
        <v>Documents\GitHub\Ozon_upload\barcode\amazing pics\Термонаклейка Цветы Розовые Ирис.pdf</v>
      </c>
      <c r="E471" s="29" t="str">
        <f>CONCATENATE("C:\Users\",username!A54,"\Documents\GitHub\Ozon_upload\DTF_images\tatyana\A4\set2\",C471,".tif")</f>
        <v>C:\Users\maxim\Documents\GitHub\Ozon_upload\DTF_images\tatyana\A4\set2\11_vert.tif</v>
      </c>
      <c r="F471" s="29">
        <v>1</v>
      </c>
      <c r="G471" s="29">
        <v>1</v>
      </c>
      <c r="H471" s="29"/>
      <c r="I471" s="29" t="s">
        <v>2051</v>
      </c>
      <c r="J471" s="29"/>
      <c r="K471" s="29" t="s">
        <v>1075</v>
      </c>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v>33</v>
      </c>
      <c r="AN471" s="29">
        <v>220</v>
      </c>
      <c r="AO471" s="29">
        <v>1</v>
      </c>
      <c r="AP471" s="29">
        <v>300</v>
      </c>
      <c r="AQ471" s="14" t="s">
        <v>623</v>
      </c>
      <c r="AR471" s="1" t="s">
        <v>2052</v>
      </c>
    </row>
    <row r="472" spans="1:44" ht="15" x14ac:dyDescent="0.25">
      <c r="A472" s="31" t="s">
        <v>2053</v>
      </c>
      <c r="B472" s="29" t="s">
        <v>2054</v>
      </c>
      <c r="C472" s="29" t="s">
        <v>2055</v>
      </c>
      <c r="D472" s="1" t="str">
        <f t="shared" si="26"/>
        <v>Documents\GitHub\Ozon_upload\barcode\amazing pics\Термонаклейка Сердце леопардовое.pdf</v>
      </c>
      <c r="E472" s="29" t="str">
        <f>CONCATENATE("C:\Users\",username!A55,"\Documents\GitHub\Ozon_upload\DTF_images\tatyana\A4\set2\",C472,".tif")</f>
        <v>C:\Users\maxim\Documents\GitHub\Ozon_upload\DTF_images\tatyana\A4\set2\13_vert.tif</v>
      </c>
      <c r="F472" s="29">
        <v>1</v>
      </c>
      <c r="G472" s="29">
        <v>1</v>
      </c>
      <c r="H472" s="29"/>
      <c r="I472" s="29" t="s">
        <v>2056</v>
      </c>
      <c r="J472" s="29"/>
      <c r="K472" s="29" t="s">
        <v>1075</v>
      </c>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v>33</v>
      </c>
      <c r="AN472" s="29">
        <v>220</v>
      </c>
      <c r="AO472" s="29">
        <v>1</v>
      </c>
      <c r="AP472" s="29">
        <v>300</v>
      </c>
      <c r="AQ472" s="14" t="s">
        <v>623</v>
      </c>
      <c r="AR472" s="1" t="s">
        <v>2057</v>
      </c>
    </row>
    <row r="473" spans="1:44" ht="15" x14ac:dyDescent="0.25">
      <c r="A473" s="31" t="s">
        <v>2058</v>
      </c>
      <c r="B473" s="29" t="s">
        <v>2059</v>
      </c>
      <c r="C473" s="29" t="s">
        <v>2060</v>
      </c>
      <c r="D473" s="1" t="str">
        <f t="shared" si="26"/>
        <v>Documents\GitHub\Ozon_upload\barcode\amazing pics\Термонаклейка Сердце разынй окрас.pdf</v>
      </c>
      <c r="E473" s="29" t="str">
        <f>CONCATENATE("C:\Users\",username!A56,"\Documents\GitHub\Ozon_upload\DTF_images\tatyana\A4\set2\",C473,".tif")</f>
        <v>C:\Users\maxim\Documents\GitHub\Ozon_upload\DTF_images\tatyana\A4\set2\14_vert.tif</v>
      </c>
      <c r="F473" s="29">
        <v>1</v>
      </c>
      <c r="G473" s="29">
        <v>1</v>
      </c>
      <c r="H473" s="29"/>
      <c r="I473" s="29" t="s">
        <v>2061</v>
      </c>
      <c r="J473" s="29"/>
      <c r="K473" s="29" t="s">
        <v>1075</v>
      </c>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v>33</v>
      </c>
      <c r="AN473" s="29">
        <v>220</v>
      </c>
      <c r="AO473" s="29">
        <v>1</v>
      </c>
      <c r="AP473" s="29">
        <v>300</v>
      </c>
      <c r="AQ473" s="14" t="s">
        <v>623</v>
      </c>
      <c r="AR473" s="1" t="s">
        <v>2062</v>
      </c>
    </row>
    <row r="474" spans="1:44" ht="15" x14ac:dyDescent="0.25">
      <c r="A474" s="31" t="s">
        <v>2063</v>
      </c>
      <c r="B474" s="29" t="s">
        <v>2064</v>
      </c>
      <c r="C474" s="29" t="s">
        <v>2065</v>
      </c>
      <c r="D474" s="1" t="str">
        <f t="shared" si="26"/>
        <v>Documents\GitHub\Ozon_upload\barcode\amazing pics\Термонаклейка Сердце Love is Wild.pdf</v>
      </c>
      <c r="E474" s="29" t="str">
        <f>CONCATENATE("C:\Users\",username!A57,"\Documents\GitHub\Ozon_upload\DTF_images\tatyana\A4\set2\",C474,".tif")</f>
        <v>C:\Users\maxim\Documents\GitHub\Ozon_upload\DTF_images\tatyana\A4\set2\15_vert.tif</v>
      </c>
      <c r="F474" s="29">
        <v>1</v>
      </c>
      <c r="G474" s="29">
        <v>1</v>
      </c>
      <c r="H474" s="29"/>
      <c r="I474" s="32" t="s">
        <v>2066</v>
      </c>
      <c r="J474" s="29"/>
      <c r="K474" s="29" t="s">
        <v>1075</v>
      </c>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v>33</v>
      </c>
      <c r="AN474" s="29">
        <v>220</v>
      </c>
      <c r="AO474" s="29">
        <v>1</v>
      </c>
      <c r="AP474" s="29">
        <v>300</v>
      </c>
      <c r="AQ474" s="14" t="s">
        <v>623</v>
      </c>
      <c r="AR474" s="1" t="s">
        <v>2067</v>
      </c>
    </row>
    <row r="475" spans="1:44" ht="15" x14ac:dyDescent="0.25">
      <c r="A475" s="31" t="s">
        <v>2068</v>
      </c>
      <c r="B475" s="29" t="s">
        <v>2069</v>
      </c>
      <c r="C475" s="29" t="s">
        <v>2070</v>
      </c>
      <c r="D475" s="1" t="str">
        <f t="shared" si="26"/>
        <v>Documents\GitHub\Ozon_upload\barcode\amazing pics\Термонаклейка Цветы Месяц Лотос.pdf</v>
      </c>
      <c r="E475" s="29" t="str">
        <f>CONCATENATE("C:\Users\",username!A58,"\Documents\GitHub\Ozon_upload\DTF_images\tatyana\A4\set2\",C475,".tif")</f>
        <v>C:\Users\maxim\Documents\GitHub\Ozon_upload\DTF_images\tatyana\A4\set2\16_vert.tif</v>
      </c>
      <c r="F475" s="29">
        <v>1</v>
      </c>
      <c r="G475" s="29">
        <v>1</v>
      </c>
      <c r="H475" s="29"/>
      <c r="I475" s="29" t="s">
        <v>2071</v>
      </c>
      <c r="J475" s="29"/>
      <c r="K475" s="29" t="s">
        <v>1075</v>
      </c>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v>33</v>
      </c>
      <c r="AN475" s="29">
        <v>220</v>
      </c>
      <c r="AO475" s="29">
        <v>1</v>
      </c>
      <c r="AP475" s="29">
        <v>300</v>
      </c>
      <c r="AQ475" s="14" t="s">
        <v>623</v>
      </c>
      <c r="AR475" s="1" t="s">
        <v>2072</v>
      </c>
    </row>
    <row r="476" spans="1:44" ht="15" x14ac:dyDescent="0.25">
      <c r="A476" s="31" t="s">
        <v>2073</v>
      </c>
      <c r="B476" s="29" t="s">
        <v>2074</v>
      </c>
      <c r="C476" s="29" t="s">
        <v>2075</v>
      </c>
      <c r="D476" s="1" t="str">
        <f t="shared" si="26"/>
        <v>Documents\GitHub\Ozon_upload\barcode\amazing pics\Термонаклейка Медуза Горгона черно-белый.pdf</v>
      </c>
      <c r="E476" s="29" t="str">
        <f>CONCATENATE("C:\Users\",username!A59,"\Documents\GitHub\Ozon_upload\DTF_images\tatyana\A4\set2\",C476,".tif")</f>
        <v>C:\Users\maxim\Documents\GitHub\Ozon_upload\DTF_images\tatyana\A4\set2\17_vert.tif</v>
      </c>
      <c r="F476" s="29">
        <v>1</v>
      </c>
      <c r="G476" s="29">
        <v>1</v>
      </c>
      <c r="H476" s="29"/>
      <c r="I476" s="29" t="s">
        <v>2076</v>
      </c>
      <c r="J476" s="29"/>
      <c r="K476" s="29" t="s">
        <v>1075</v>
      </c>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v>33</v>
      </c>
      <c r="AN476" s="29">
        <v>220</v>
      </c>
      <c r="AO476" s="29">
        <v>1</v>
      </c>
      <c r="AP476" s="29">
        <v>300</v>
      </c>
      <c r="AQ476" s="14" t="s">
        <v>623</v>
      </c>
      <c r="AR476" s="1" t="s">
        <v>2077</v>
      </c>
    </row>
    <row r="477" spans="1:44" ht="15" x14ac:dyDescent="0.25">
      <c r="A477" s="31" t="s">
        <v>2078</v>
      </c>
      <c r="B477" s="29" t="s">
        <v>2079</v>
      </c>
      <c r="C477" s="29" t="s">
        <v>2080</v>
      </c>
      <c r="D477" s="1" t="str">
        <f t="shared" si="26"/>
        <v>Documents\GitHub\Ozon_upload\barcode\amazing pics\Термонаклейка Бабочка you are free to fly.pdf</v>
      </c>
      <c r="E477" s="29" t="str">
        <f>CONCATENATE("C:\Users\",username!A60,"\Documents\GitHub\Ozon_upload\DTF_images\tatyana\A4\set2\",C477,".tif")</f>
        <v>C:\Users\maxim\Documents\GitHub\Ozon_upload\DTF_images\tatyana\A4\set2\18_vert.tif</v>
      </c>
      <c r="F477" s="29">
        <v>1</v>
      </c>
      <c r="G477" s="29">
        <v>1</v>
      </c>
      <c r="H477" s="29"/>
      <c r="I477" s="29" t="s">
        <v>2081</v>
      </c>
      <c r="J477" s="29"/>
      <c r="K477" s="29" t="s">
        <v>1075</v>
      </c>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v>33</v>
      </c>
      <c r="AN477" s="29">
        <v>220</v>
      </c>
      <c r="AO477" s="29">
        <v>1</v>
      </c>
      <c r="AP477" s="29">
        <v>300</v>
      </c>
      <c r="AQ477" s="14" t="s">
        <v>623</v>
      </c>
      <c r="AR477" s="1" t="s">
        <v>2082</v>
      </c>
    </row>
    <row r="478" spans="1:44" ht="15" x14ac:dyDescent="0.25">
      <c r="A478" s="31" t="s">
        <v>2083</v>
      </c>
      <c r="B478" s="29" t="s">
        <v>2084</v>
      </c>
      <c r="C478" s="29" t="s">
        <v>2085</v>
      </c>
      <c r="D478" s="1" t="str">
        <f t="shared" si="26"/>
        <v>Documents\GitHub\Ozon_upload\barcode\amazing pics\Термонаклейка Розовый фламинго цветы.pdf</v>
      </c>
      <c r="E478" s="29" t="str">
        <f>CONCATENATE("C:\Users\",username!A61,"\Documents\GitHub\Ozon_upload\DTF_images\tatyana\A4\set2\",C478,".tif")</f>
        <v>C:\Users\maxim\Documents\GitHub\Ozon_upload\DTF_images\tatyana\A4\set2\19_vert.tif</v>
      </c>
      <c r="F478" s="29">
        <v>1</v>
      </c>
      <c r="G478" s="29">
        <v>1</v>
      </c>
      <c r="H478" s="29"/>
      <c r="I478" s="32" t="s">
        <v>2086</v>
      </c>
      <c r="J478" s="29"/>
      <c r="K478" s="29" t="s">
        <v>1075</v>
      </c>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v>33</v>
      </c>
      <c r="AN478" s="29">
        <v>220</v>
      </c>
      <c r="AO478" s="29">
        <v>1</v>
      </c>
      <c r="AP478" s="29">
        <v>300</v>
      </c>
      <c r="AQ478" s="14" t="s">
        <v>623</v>
      </c>
      <c r="AR478" s="1" t="s">
        <v>2087</v>
      </c>
    </row>
    <row r="479" spans="1:44" ht="15" x14ac:dyDescent="0.25">
      <c r="A479" s="31" t="s">
        <v>2088</v>
      </c>
      <c r="B479" s="29" t="s">
        <v>2089</v>
      </c>
      <c r="C479" s="29" t="s">
        <v>2090</v>
      </c>
      <c r="D479" s="1" t="str">
        <f t="shared" si="26"/>
        <v>Documents\GitHub\Ozon_upload\barcode\amazing pics\Термонаклейка Девушка бабочка Ван Гог.pdf</v>
      </c>
      <c r="E479" s="29" t="str">
        <f>CONCATENATE("C:\Users\",username!A62,"\Documents\GitHub\Ozon_upload\DTF_images\tatyana\A4\set2\",C479,".tif")</f>
        <v>C:\Users\maxim\Documents\GitHub\Ozon_upload\DTF_images\tatyana\A4\set2\20_vert.tif</v>
      </c>
      <c r="F479" s="29">
        <v>1</v>
      </c>
      <c r="G479" s="29">
        <v>1</v>
      </c>
      <c r="H479" s="29"/>
      <c r="I479" s="29" t="s">
        <v>2091</v>
      </c>
      <c r="J479" s="29"/>
      <c r="K479" s="29" t="s">
        <v>1075</v>
      </c>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v>33</v>
      </c>
      <c r="AN479" s="29">
        <v>220</v>
      </c>
      <c r="AO479" s="29">
        <v>1</v>
      </c>
      <c r="AP479" s="29">
        <v>300</v>
      </c>
      <c r="AQ479" s="14" t="s">
        <v>623</v>
      </c>
      <c r="AR479" s="1" t="s">
        <v>2092</v>
      </c>
    </row>
    <row r="480" spans="1:44" ht="15" x14ac:dyDescent="0.25">
      <c r="A480" s="31" t="s">
        <v>2093</v>
      </c>
      <c r="B480" s="29" t="s">
        <v>2094</v>
      </c>
      <c r="C480" s="29" t="s">
        <v>2095</v>
      </c>
      <c r="D480" s="1" t="str">
        <f t="shared" si="26"/>
        <v>Documents\GitHub\Ozon_upload\barcode\amazing pics\Термонаклейка Котенок розовый закат звезды.pdf</v>
      </c>
      <c r="E480" s="29" t="str">
        <f>CONCATENATE("C:\Users\",username!A63,"\Documents\GitHub\Ozon_upload\DTF_images\tatyana\A4\set2\",C480,".tif")</f>
        <v>C:\Users\maxim\Documents\GitHub\Ozon_upload\DTF_images\tatyana\A4\set2\21_vert.tif</v>
      </c>
      <c r="F480" s="29">
        <v>1</v>
      </c>
      <c r="G480" s="29">
        <v>1</v>
      </c>
      <c r="H480" s="29"/>
      <c r="I480" s="29" t="s">
        <v>2096</v>
      </c>
      <c r="J480" s="29"/>
      <c r="K480" s="29" t="s">
        <v>1075</v>
      </c>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v>33</v>
      </c>
      <c r="AN480" s="29">
        <v>220</v>
      </c>
      <c r="AO480" s="29">
        <v>1</v>
      </c>
      <c r="AP480" s="29">
        <v>300</v>
      </c>
      <c r="AQ480" s="14" t="s">
        <v>623</v>
      </c>
      <c r="AR480" s="1" t="s">
        <v>2097</v>
      </c>
    </row>
    <row r="481" spans="1:44" ht="15" x14ac:dyDescent="0.25">
      <c r="A481" s="31" t="s">
        <v>2098</v>
      </c>
      <c r="B481" s="29" t="s">
        <v>2099</v>
      </c>
      <c r="C481" s="29" t="s">
        <v>2100</v>
      </c>
      <c r="D481" s="1" t="str">
        <f t="shared" si="26"/>
        <v>Documents\GitHub\Ozon_upload\barcode\amazing pics\Термонаклейка Кит хвост из волн море океан.pdf</v>
      </c>
      <c r="E481" s="29" t="str">
        <f>CONCATENATE("C:\Users\",username!A64,"\Documents\GitHub\Ozon_upload\DTF_images\tatyana\A4\set2\",C481,".tif")</f>
        <v>C:\Users\maxim\Documents\GitHub\Ozon_upload\DTF_images\tatyana\A4\set2\22_horiz.tif</v>
      </c>
      <c r="F481" s="29">
        <v>0</v>
      </c>
      <c r="G481" s="29">
        <v>1</v>
      </c>
      <c r="H481" s="29"/>
      <c r="I481" s="29" t="s">
        <v>2101</v>
      </c>
      <c r="J481" s="29"/>
      <c r="K481" s="29" t="s">
        <v>1075</v>
      </c>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v>33</v>
      </c>
      <c r="AN481" s="29">
        <v>220</v>
      </c>
      <c r="AO481" s="29">
        <v>1</v>
      </c>
      <c r="AP481" s="29">
        <v>300</v>
      </c>
      <c r="AQ481" s="14" t="s">
        <v>623</v>
      </c>
      <c r="AR481" s="1" t="s">
        <v>2102</v>
      </c>
    </row>
    <row r="482" spans="1:44" ht="15" x14ac:dyDescent="0.25">
      <c r="A482" s="31" t="s">
        <v>2103</v>
      </c>
      <c r="B482" s="29" t="s">
        <v>2104</v>
      </c>
      <c r="C482" s="29" t="s">
        <v>2105</v>
      </c>
      <c r="D482" s="1" t="str">
        <f t="shared" si="26"/>
        <v>Documents\GitHub\Ozon_upload\barcode\amazing pics\Термонаклейка Солнце Луна Звезды Астрология.pdf</v>
      </c>
      <c r="E482" s="29" t="str">
        <f>CONCATENATE("C:\Users\",username!A65,"\Documents\GitHub\Ozon_upload\DTF_images\tatyana\A4\set2\",C482,".tif")</f>
        <v>C:\Users\maxim\Documents\GitHub\Ozon_upload\DTF_images\tatyana\A4\set2\23_vert.tif</v>
      </c>
      <c r="F482" s="29">
        <v>1</v>
      </c>
      <c r="G482" s="29">
        <v>1</v>
      </c>
      <c r="H482" s="29"/>
      <c r="I482" s="32" t="s">
        <v>2106</v>
      </c>
      <c r="J482" s="29"/>
      <c r="K482" s="29" t="s">
        <v>1075</v>
      </c>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v>33</v>
      </c>
      <c r="AN482" s="29">
        <v>220</v>
      </c>
      <c r="AO482" s="29">
        <v>1</v>
      </c>
      <c r="AP482" s="29">
        <v>300</v>
      </c>
      <c r="AQ482" s="14" t="s">
        <v>623</v>
      </c>
      <c r="AR482" s="1" t="s">
        <v>2107</v>
      </c>
    </row>
    <row r="483" spans="1:44" ht="15" x14ac:dyDescent="0.25">
      <c r="A483" s="31" t="s">
        <v>2108</v>
      </c>
      <c r="B483" s="29" t="s">
        <v>2109</v>
      </c>
      <c r="C483" s="29" t="s">
        <v>2110</v>
      </c>
      <c r="D483" s="1" t="str">
        <f t="shared" si="26"/>
        <v>Documents\GitHub\Ozon_upload\barcode\amazing pics\Термонаклейка Черный Кот Звезды Астрология.pdf</v>
      </c>
      <c r="E483" s="29" t="str">
        <f>CONCATENATE("C:\Users\",username!A66,"\Documents\GitHub\Ozon_upload\DTF_images\tatyana\A4\set2\",C483,".tif")</f>
        <v>C:\Users\maxim\Documents\GitHub\Ozon_upload\DTF_images\tatyana\A4\set2\24_vert.tif</v>
      </c>
      <c r="F483" s="29">
        <v>1</v>
      </c>
      <c r="G483" s="29">
        <v>1</v>
      </c>
      <c r="H483" s="29"/>
      <c r="I483" s="29" t="s">
        <v>2111</v>
      </c>
      <c r="J483" s="29"/>
      <c r="K483" s="29" t="s">
        <v>1075</v>
      </c>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v>33</v>
      </c>
      <c r="AN483" s="29">
        <v>220</v>
      </c>
      <c r="AO483" s="29">
        <v>1</v>
      </c>
      <c r="AP483" s="29">
        <v>300</v>
      </c>
      <c r="AQ483" s="14" t="s">
        <v>623</v>
      </c>
      <c r="AR483" s="1" t="s">
        <v>2112</v>
      </c>
    </row>
    <row r="484" spans="1:44" ht="15" x14ac:dyDescent="0.25">
      <c r="A484" s="31" t="s">
        <v>2113</v>
      </c>
      <c r="B484" s="29" t="s">
        <v>2114</v>
      </c>
      <c r="C484" s="29" t="s">
        <v>2115</v>
      </c>
      <c r="D484" s="1" t="str">
        <f t="shared" si="26"/>
        <v>Documents\GitHub\Ozon_upload\barcode\amazing pics\Термонаклейка Подсолнух Ван Гог.pdf</v>
      </c>
      <c r="E484" s="29" t="str">
        <f>CONCATENATE("C:\Users\",username!A67,"\Documents\GitHub\Ozon_upload\DTF_images\tatyana\A4\set2\",C484,".tif")</f>
        <v>C:\Users\maxim\Documents\GitHub\Ozon_upload\DTF_images\tatyana\A4\set2\28_vert.tif</v>
      </c>
      <c r="F484" s="29">
        <v>1</v>
      </c>
      <c r="G484" s="29">
        <v>1</v>
      </c>
      <c r="H484" s="29"/>
      <c r="I484" s="29" t="s">
        <v>2116</v>
      </c>
      <c r="J484" s="29"/>
      <c r="K484" s="29" t="s">
        <v>1075</v>
      </c>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v>33</v>
      </c>
      <c r="AN484" s="29">
        <v>220</v>
      </c>
      <c r="AO484" s="29">
        <v>1</v>
      </c>
      <c r="AP484" s="29">
        <v>300</v>
      </c>
      <c r="AQ484" s="14" t="s">
        <v>623</v>
      </c>
      <c r="AR484" s="1" t="s">
        <v>2117</v>
      </c>
    </row>
    <row r="485" spans="1:44" ht="15" x14ac:dyDescent="0.25">
      <c r="A485" s="31" t="s">
        <v>2118</v>
      </c>
      <c r="B485" s="29" t="s">
        <v>2119</v>
      </c>
      <c r="C485" s="29" t="s">
        <v>2120</v>
      </c>
      <c r="D485" s="1" t="str">
        <f t="shared" si="26"/>
        <v>Documents\GitHub\Ozon_upload\barcode\amazing pics\Термонаклейка Сердце Большая волна в Канагаве.pdf</v>
      </c>
      <c r="E485" s="29" t="str">
        <f>CONCATENATE("C:\Users\",username!A68,"\Documents\GitHub\Ozon_upload\DTF_images\tatyana\A4\set2\",C485,".tif")</f>
        <v>C:\Users\maxim\Documents\GitHub\Ozon_upload\DTF_images\tatyana\A4\set2\30_vert.tif</v>
      </c>
      <c r="F485" s="29">
        <v>1</v>
      </c>
      <c r="G485" s="29">
        <v>1</v>
      </c>
      <c r="H485" s="29"/>
      <c r="I485" s="29" t="s">
        <v>2121</v>
      </c>
      <c r="J485" s="29"/>
      <c r="K485" s="29" t="s">
        <v>1075</v>
      </c>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v>33</v>
      </c>
      <c r="AN485" s="29">
        <v>220</v>
      </c>
      <c r="AO485" s="29">
        <v>1</v>
      </c>
      <c r="AP485" s="29">
        <v>300</v>
      </c>
      <c r="AQ485" s="14" t="s">
        <v>623</v>
      </c>
      <c r="AR485" s="1" t="s">
        <v>2122</v>
      </c>
    </row>
    <row r="486" spans="1:44" ht="15" x14ac:dyDescent="0.25">
      <c r="A486" s="31" t="s">
        <v>2123</v>
      </c>
      <c r="B486" s="29" t="s">
        <v>2124</v>
      </c>
      <c r="C486" s="29" t="s">
        <v>2125</v>
      </c>
      <c r="D486" s="1" t="str">
        <f t="shared" si="26"/>
        <v>Documents\GitHub\Ozon_upload\barcode\amazing pics\Термонаклейка Секс в большом городе подруги.pdf</v>
      </c>
      <c r="E486" s="29" t="str">
        <f>CONCATENATE("C:\Users\",username!A69,"\Documents\GitHub\Ozon_upload\DTF_images\tatyana\A4\set2\",C486,".tif")</f>
        <v>C:\Users\maxim\Documents\GitHub\Ozon_upload\DTF_images\tatyana\A4\set2\31_vert.tif</v>
      </c>
      <c r="F486" s="29">
        <v>1</v>
      </c>
      <c r="G486" s="29">
        <v>1</v>
      </c>
      <c r="H486" s="29"/>
      <c r="I486" s="29" t="s">
        <v>2126</v>
      </c>
      <c r="J486" s="29"/>
      <c r="K486" s="29" t="s">
        <v>1075</v>
      </c>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v>33</v>
      </c>
      <c r="AN486" s="29">
        <v>220</v>
      </c>
      <c r="AO486" s="29">
        <v>1</v>
      </c>
      <c r="AP486" s="29">
        <v>300</v>
      </c>
      <c r="AQ486" s="14" t="s">
        <v>628</v>
      </c>
      <c r="AR486" s="1" t="s">
        <v>2127</v>
      </c>
    </row>
    <row r="487" spans="1:44" ht="15" x14ac:dyDescent="0.25">
      <c r="A487" s="31" t="s">
        <v>2128</v>
      </c>
      <c r="B487" s="29" t="s">
        <v>2129</v>
      </c>
      <c r="C487" s="29" t="s">
        <v>2130</v>
      </c>
      <c r="D487" s="1" t="str">
        <f t="shared" si="26"/>
        <v>Documents\GitHub\Ozon_upload\barcode\amazing pics\Термонаклейка Давид статуя цветы.pdf</v>
      </c>
      <c r="E487" s="29" t="str">
        <f>CONCATENATE("C:\Users\",username!A70,"\Documents\GitHub\Ozon_upload\DTF_images\tatyana\A4\set2\",C487,".tif")</f>
        <v>C:\Users\maxim\Documents\GitHub\Ozon_upload\DTF_images\tatyana\A4\set2\32_vert.tif</v>
      </c>
      <c r="F487" s="29">
        <v>1</v>
      </c>
      <c r="G487" s="29">
        <v>1</v>
      </c>
      <c r="H487" s="29"/>
      <c r="I487" s="29" t="s">
        <v>2131</v>
      </c>
      <c r="J487" s="29"/>
      <c r="K487" s="29" t="s">
        <v>1075</v>
      </c>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v>33</v>
      </c>
      <c r="AN487" s="29">
        <v>220</v>
      </c>
      <c r="AO487" s="29">
        <v>1</v>
      </c>
      <c r="AP487" s="29">
        <v>300</v>
      </c>
      <c r="AQ487" s="14" t="s">
        <v>623</v>
      </c>
      <c r="AR487" s="1" t="s">
        <v>2132</v>
      </c>
    </row>
    <row r="488" spans="1:44" ht="15" x14ac:dyDescent="0.25">
      <c r="A488" s="28" t="s">
        <v>2133</v>
      </c>
      <c r="B488" s="29" t="s">
        <v>2134</v>
      </c>
      <c r="C488" s="29" t="s">
        <v>2135</v>
      </c>
      <c r="D488" s="1" t="str">
        <f t="shared" si="26"/>
        <v>Documents\GitHub\Ozon_upload\barcode\amazing pics\Термонаклейка Мэрилин Монро Медуза Горгона.pdf</v>
      </c>
      <c r="E488" s="29" t="str">
        <f>CONCATENATE("C:\Users\",username!A71,"\Documents\GitHub\Ozon_upload\DTF_images\tatyana\A4\set2\",C488,".tif")</f>
        <v>C:\Users\maxim\Documents\GitHub\Ozon_upload\DTF_images\tatyana\A4\set2\33_vert.tif</v>
      </c>
      <c r="F488" s="29">
        <v>1</v>
      </c>
      <c r="G488" s="29">
        <v>1</v>
      </c>
      <c r="H488" s="29"/>
      <c r="I488" s="32" t="s">
        <v>2136</v>
      </c>
      <c r="J488" s="29"/>
      <c r="K488" s="29" t="s">
        <v>1075</v>
      </c>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v>33</v>
      </c>
      <c r="AN488" s="29">
        <v>220</v>
      </c>
      <c r="AO488" s="29">
        <v>1</v>
      </c>
      <c r="AP488" s="29">
        <v>300</v>
      </c>
      <c r="AQ488" s="14" t="s">
        <v>623</v>
      </c>
      <c r="AR488" s="1" t="s">
        <v>2137</v>
      </c>
    </row>
    <row r="489" spans="1:44" ht="15" x14ac:dyDescent="0.25">
      <c r="A489" s="28" t="s">
        <v>2138</v>
      </c>
      <c r="B489" s="29" t="s">
        <v>2139</v>
      </c>
      <c r="C489" s="29" t="s">
        <v>2140</v>
      </c>
      <c r="D489" s="1" t="str">
        <f t="shared" si="26"/>
        <v>Documents\GitHub\Ozon_upload\barcode\amazing pics\Термонаклейка Череп цветы Подсолнух Ван Гог.pdf</v>
      </c>
      <c r="E489" s="29" t="str">
        <f>CONCATENATE("C:\Users\",username!A72,"\Documents\GitHub\Ozon_upload\DTF_images\tatyana\A4\set2\",C489,".tif")</f>
        <v>C:\Users\maxim\Documents\GitHub\Ozon_upload\DTF_images\tatyana\A4\set2\34_vert.tif</v>
      </c>
      <c r="F489" s="29">
        <v>1</v>
      </c>
      <c r="G489" s="29">
        <v>1</v>
      </c>
      <c r="H489" s="29"/>
      <c r="I489" s="29" t="s">
        <v>2141</v>
      </c>
      <c r="J489" s="29"/>
      <c r="K489" s="29" t="s">
        <v>1075</v>
      </c>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v>33</v>
      </c>
      <c r="AN489" s="29">
        <v>220</v>
      </c>
      <c r="AO489" s="29">
        <v>1</v>
      </c>
      <c r="AP489" s="29">
        <v>300</v>
      </c>
      <c r="AQ489" s="14" t="s">
        <v>623</v>
      </c>
      <c r="AR489" s="1" t="s">
        <v>2142</v>
      </c>
    </row>
    <row r="490" spans="1:44" ht="15" x14ac:dyDescent="0.25">
      <c r="A490" s="28" t="s">
        <v>2143</v>
      </c>
      <c r="B490" s="29" t="s">
        <v>2144</v>
      </c>
      <c r="C490" s="29" t="s">
        <v>2145</v>
      </c>
      <c r="D490" s="1" t="str">
        <f t="shared" si="26"/>
        <v>Documents\GitHub\Ozon_upload\barcode\amazing pics\Термонаклейка Пантера рычит звезды розовый фон.pdf</v>
      </c>
      <c r="E490" s="29" t="str">
        <f>CONCATENATE("C:\Users\",username!A73,"\Documents\GitHub\Ozon_upload\DTF_images\tatyana\A4\set2\",C490,".tif")</f>
        <v>C:\Users\maxim\Documents\GitHub\Ozon_upload\DTF_images\tatyana\A4\set2\35_vert.tif</v>
      </c>
      <c r="F490" s="29">
        <v>1</v>
      </c>
      <c r="G490" s="29">
        <v>1</v>
      </c>
      <c r="H490" s="29"/>
      <c r="I490" s="29" t="s">
        <v>2146</v>
      </c>
      <c r="J490" s="29"/>
      <c r="K490" s="29" t="s">
        <v>1075</v>
      </c>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v>33</v>
      </c>
      <c r="AN490" s="29">
        <v>220</v>
      </c>
      <c r="AO490" s="29">
        <v>1</v>
      </c>
      <c r="AP490" s="29">
        <v>300</v>
      </c>
      <c r="AQ490" s="14" t="s">
        <v>628</v>
      </c>
      <c r="AR490" s="1" t="s">
        <v>2147</v>
      </c>
    </row>
    <row r="491" spans="1:44" ht="15" x14ac:dyDescent="0.25">
      <c r="A491" s="28" t="s">
        <v>2148</v>
      </c>
      <c r="B491" s="29" t="s">
        <v>2149</v>
      </c>
      <c r="C491" s="29" t="s">
        <v>2150</v>
      </c>
      <c r="D491" s="1" t="str">
        <f t="shared" si="26"/>
        <v>Documents\GitHub\Ozon_upload\barcode\amazing pics\Термонаклейка Цветы Пионы надпись.pdf</v>
      </c>
      <c r="E491" s="29" t="str">
        <f>CONCATENATE("C:\Users\",username!A74,"\Documents\GitHub\Ozon_upload\DTF_images\tatyana\A4\set2\",C491,".tif")</f>
        <v>C:\Users\maxim\Documents\GitHub\Ozon_upload\DTF_images\tatyana\A4\set2\36_vert.tif</v>
      </c>
      <c r="F491" s="29">
        <v>1</v>
      </c>
      <c r="G491" s="29">
        <v>1</v>
      </c>
      <c r="H491" s="29"/>
      <c r="I491" s="29" t="s">
        <v>2151</v>
      </c>
      <c r="J491" s="29"/>
      <c r="K491" s="29" t="s">
        <v>1075</v>
      </c>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v>33</v>
      </c>
      <c r="AN491" s="29">
        <v>220</v>
      </c>
      <c r="AO491" s="29">
        <v>1</v>
      </c>
      <c r="AP491" s="29">
        <v>300</v>
      </c>
      <c r="AQ491" s="14" t="s">
        <v>623</v>
      </c>
      <c r="AR491" s="1" t="s">
        <v>2152</v>
      </c>
    </row>
    <row r="492" spans="1:44" ht="15" x14ac:dyDescent="0.25">
      <c r="A492" s="28" t="s">
        <v>2153</v>
      </c>
      <c r="B492" s="29" t="s">
        <v>2154</v>
      </c>
      <c r="C492" s="29" t="s">
        <v>2155</v>
      </c>
      <c r="D492" s="1" t="str">
        <f t="shared" si="26"/>
        <v>Documents\GitHub\Ozon_upload\barcode\amazing pics\Термонаклейка Девушка силует туман лес птицы.pdf</v>
      </c>
      <c r="E492" s="29" t="str">
        <f>CONCATENATE("C:\Users\",username!A75,"\Documents\GitHub\Ozon_upload\DTF_images\tatyana\A4\set2\",C492,".tif")</f>
        <v>C:\Users\maxim\Documents\GitHub\Ozon_upload\DTF_images\tatyana\A4\set2\37_vert.tif</v>
      </c>
      <c r="F492" s="29">
        <v>1</v>
      </c>
      <c r="G492" s="29">
        <v>1</v>
      </c>
      <c r="H492" s="29"/>
      <c r="I492" s="29" t="s">
        <v>2156</v>
      </c>
      <c r="J492" s="29"/>
      <c r="K492" s="29" t="s">
        <v>1075</v>
      </c>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v>33</v>
      </c>
      <c r="AN492" s="29">
        <v>220</v>
      </c>
      <c r="AO492" s="29">
        <v>1</v>
      </c>
      <c r="AP492" s="29">
        <v>300</v>
      </c>
      <c r="AQ492" s="14" t="s">
        <v>623</v>
      </c>
      <c r="AR492" s="1" t="s">
        <v>2157</v>
      </c>
    </row>
    <row r="493" spans="1:44" ht="15" x14ac:dyDescent="0.25">
      <c r="A493" s="28" t="s">
        <v>2158</v>
      </c>
      <c r="B493" s="29" t="s">
        <v>2159</v>
      </c>
      <c r="C493" s="29" t="s">
        <v>2160</v>
      </c>
      <c r="D493" s="1" t="str">
        <f t="shared" si="26"/>
        <v>Documents\GitHub\Ozon_upload\barcode\amazing pics\Термонаклейка Крылья красочные маслом.pdf</v>
      </c>
      <c r="E493" s="29" t="str">
        <f>CONCATENATE("C:\Users\",username!A76,"\Documents\GitHub\Ozon_upload\DTF_images\tatyana\A4\set2\",C493,".tif")</f>
        <v>C:\Users\maxim\Documents\GitHub\Ozon_upload\DTF_images\tatyana\A4\set2\39_horiz.tif</v>
      </c>
      <c r="F493" s="29">
        <v>0</v>
      </c>
      <c r="G493" s="29">
        <v>1</v>
      </c>
      <c r="H493" s="29"/>
      <c r="I493" s="29" t="s">
        <v>2161</v>
      </c>
      <c r="J493" s="29"/>
      <c r="K493" s="29" t="s">
        <v>1075</v>
      </c>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v>33</v>
      </c>
      <c r="AN493" s="29">
        <v>220</v>
      </c>
      <c r="AO493" s="29">
        <v>1</v>
      </c>
      <c r="AP493" s="29">
        <v>300</v>
      </c>
      <c r="AQ493" s="14" t="s">
        <v>623</v>
      </c>
      <c r="AR493" s="1" t="s">
        <v>2162</v>
      </c>
    </row>
    <row r="494" spans="1:44" ht="15" x14ac:dyDescent="0.25">
      <c r="A494" s="28" t="s">
        <v>2163</v>
      </c>
      <c r="B494" s="29" t="s">
        <v>2164</v>
      </c>
      <c r="C494" s="29" t="s">
        <v>2165</v>
      </c>
      <c r="D494" s="1" t="str">
        <f t="shared" si="26"/>
        <v>Documents\GitHub\Ozon_upload\barcode\amazing pics\Термонаклейка Кит прягает из воды закат.pdf</v>
      </c>
      <c r="E494" s="29" t="str">
        <f>CONCATENATE("C:\Users\",username!A77,"\Documents\GitHub\Ozon_upload\DTF_images\tatyana\A4\set2\",C494,".tif")</f>
        <v>C:\Users\maxim\Documents\GitHub\Ozon_upload\DTF_images\tatyana\A4\set2\40_vert.tif</v>
      </c>
      <c r="F494" s="29">
        <v>1</v>
      </c>
      <c r="G494" s="29">
        <v>1</v>
      </c>
      <c r="H494" s="29"/>
      <c r="I494" s="32" t="s">
        <v>2166</v>
      </c>
      <c r="J494" s="29"/>
      <c r="K494" s="29" t="s">
        <v>1075</v>
      </c>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v>33</v>
      </c>
      <c r="AN494" s="29">
        <v>220</v>
      </c>
      <c r="AO494" s="29">
        <v>1</v>
      </c>
      <c r="AP494" s="29">
        <v>300</v>
      </c>
      <c r="AQ494" s="14" t="s">
        <v>628</v>
      </c>
      <c r="AR494" s="1" t="s">
        <v>2167</v>
      </c>
    </row>
    <row r="495" spans="1:44" ht="15" x14ac:dyDescent="0.25">
      <c r="A495" s="28" t="s">
        <v>2168</v>
      </c>
      <c r="B495" s="29" t="s">
        <v>2169</v>
      </c>
      <c r="C495" s="29" t="s">
        <v>2170</v>
      </c>
      <c r="D495" s="1" t="str">
        <f t="shared" si="26"/>
        <v>Documents\GitHub\Ozon_upload\barcode\amazing pics\Термонаклейка Кит моряк волны лодка.pdf</v>
      </c>
      <c r="E495" s="29" t="str">
        <f>CONCATENATE("C:\Users\",username!A78,"\Documents\GitHub\Ozon_upload\DTF_images\tatyana\A4\set2\",C495,".tif")</f>
        <v>C:\Users\maxim\Documents\GitHub\Ozon_upload\DTF_images\tatyana\A4\set2\41_vert.tif</v>
      </c>
      <c r="F495" s="29">
        <v>1</v>
      </c>
      <c r="G495" s="29">
        <v>1</v>
      </c>
      <c r="H495" s="29"/>
      <c r="I495" s="29" t="s">
        <v>2171</v>
      </c>
      <c r="J495" s="29"/>
      <c r="K495" s="29" t="s">
        <v>1075</v>
      </c>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v>33</v>
      </c>
      <c r="AN495" s="29">
        <v>220</v>
      </c>
      <c r="AO495" s="29">
        <v>1</v>
      </c>
      <c r="AP495" s="29">
        <v>300</v>
      </c>
      <c r="AQ495" s="14" t="s">
        <v>623</v>
      </c>
      <c r="AR495" s="1" t="s">
        <v>2172</v>
      </c>
    </row>
    <row r="496" spans="1:44" ht="15" x14ac:dyDescent="0.25">
      <c r="A496" s="28" t="s">
        <v>2173</v>
      </c>
      <c r="B496" s="29" t="s">
        <v>2174</v>
      </c>
      <c r="C496" s="29" t="s">
        <v>2175</v>
      </c>
      <c r="D496" s="1" t="str">
        <f t="shared" si="26"/>
        <v>Documents\GitHub\Ozon_upload\barcode\amazing pics\Термонаклейка Синяя бабочка буквы.pdf</v>
      </c>
      <c r="E496" s="29" t="str">
        <f>CONCATENATE("C:\Users\",username!A79,"\Documents\GitHub\Ozon_upload\DTF_images\tatyana\A4\set2\",C496,".tif")</f>
        <v>C:\Users\maxim\Documents\GitHub\Ozon_upload\DTF_images\tatyana\A4\set2\42_horiz.tif</v>
      </c>
      <c r="F496" s="29">
        <v>0</v>
      </c>
      <c r="G496" s="29">
        <v>1</v>
      </c>
      <c r="H496" s="29"/>
      <c r="I496" s="32" t="s">
        <v>2176</v>
      </c>
      <c r="J496" s="29"/>
      <c r="K496" s="29" t="s">
        <v>1075</v>
      </c>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v>33</v>
      </c>
      <c r="AN496" s="29">
        <v>220</v>
      </c>
      <c r="AO496" s="29">
        <v>1</v>
      </c>
      <c r="AP496" s="29">
        <v>300</v>
      </c>
      <c r="AQ496" s="14" t="s">
        <v>623</v>
      </c>
      <c r="AR496" s="1" t="s">
        <v>2177</v>
      </c>
    </row>
    <row r="497" spans="1:44" ht="15" x14ac:dyDescent="0.25">
      <c r="A497" s="28" t="s">
        <v>2178</v>
      </c>
      <c r="B497" s="29" t="s">
        <v>2179</v>
      </c>
      <c r="C497" s="29" t="s">
        <v>2180</v>
      </c>
      <c r="D497" s="1" t="str">
        <f t="shared" si="26"/>
        <v>Documents\GitHub\Ozon_upload\barcode\amazing pics\Термонаклейка Микки Маус бабочки цверы силует.pdf</v>
      </c>
      <c r="E497" s="29" t="str">
        <f>CONCATENATE("C:\Users\",username!A80,"\Documents\GitHub\Ozon_upload\DTF_images\tatyana\A4\set2\",C497,".tif")</f>
        <v>C:\Users\maxim\Documents\GitHub\Ozon_upload\DTF_images\tatyana\A4\set2\44_horiz.tif</v>
      </c>
      <c r="F497" s="29">
        <v>0</v>
      </c>
      <c r="G497" s="29">
        <v>1</v>
      </c>
      <c r="H497" s="29"/>
      <c r="I497" s="29" t="s">
        <v>2181</v>
      </c>
      <c r="J497" s="29"/>
      <c r="K497" s="29" t="s">
        <v>1075</v>
      </c>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v>33</v>
      </c>
      <c r="AN497" s="29">
        <v>220</v>
      </c>
      <c r="AO497" s="29">
        <v>1</v>
      </c>
      <c r="AP497" s="29">
        <v>300</v>
      </c>
      <c r="AQ497" s="14" t="s">
        <v>623</v>
      </c>
      <c r="AR497" s="1" t="s">
        <v>2182</v>
      </c>
    </row>
    <row r="498" spans="1:44" ht="15" x14ac:dyDescent="0.25">
      <c r="A498" s="28" t="s">
        <v>2183</v>
      </c>
      <c r="B498" s="29" t="s">
        <v>2184</v>
      </c>
      <c r="C498" s="29" t="s">
        <v>2185</v>
      </c>
      <c r="D498" s="1" t="str">
        <f t="shared" si="26"/>
        <v>Documents\GitHub\Ozon_upload\barcode\amazing pics\Термонаклейка Тукан цветы.pdf</v>
      </c>
      <c r="E498" s="29" t="str">
        <f>CONCATENATE("C:\Users\",username!A81,"\Documents\GitHub\Ozon_upload\DTF_images\tatyana\A4\set2\",C498,".tif")</f>
        <v>C:\Users\maxim\Documents\GitHub\Ozon_upload\DTF_images\tatyana\A4\set2\47_vert.tif</v>
      </c>
      <c r="F498" s="29">
        <v>1</v>
      </c>
      <c r="G498" s="29">
        <v>1</v>
      </c>
      <c r="H498" s="29"/>
      <c r="I498" s="29" t="s">
        <v>2186</v>
      </c>
      <c r="J498" s="29"/>
      <c r="K498" s="29" t="s">
        <v>1075</v>
      </c>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v>33</v>
      </c>
      <c r="AN498" s="29">
        <v>220</v>
      </c>
      <c r="AO498" s="29">
        <v>1</v>
      </c>
      <c r="AP498" s="29">
        <v>300</v>
      </c>
      <c r="AQ498" s="14" t="s">
        <v>623</v>
      </c>
      <c r="AR498" s="1" t="s">
        <v>2187</v>
      </c>
    </row>
    <row r="499" spans="1:44" ht="15" x14ac:dyDescent="0.25">
      <c r="A499" s="31" t="s">
        <v>2188</v>
      </c>
      <c r="B499" s="29" t="s">
        <v>2189</v>
      </c>
      <c r="C499" s="29" t="s">
        <v>2190</v>
      </c>
      <c r="D499" s="1" t="str">
        <f t="shared" si="26"/>
        <v>Documents\GitHub\Ozon_upload\barcode\amazing pics\Термонаклейка Мопс Собачка попа секси.pdf</v>
      </c>
      <c r="E499" s="29" t="str">
        <f>CONCATENATE("C:\Users\",username!A82,"\Documents\GitHub\Ozon_upload\DTF_images\tatyana\A4\set2\",C499,".tif")</f>
        <v>C:\Users\maxim\Documents\GitHub\Ozon_upload\DTF_images\tatyana\A4\set2\50_vert.tif</v>
      </c>
      <c r="F499" s="29">
        <v>1</v>
      </c>
      <c r="G499" s="29">
        <v>1</v>
      </c>
      <c r="H499" s="29"/>
      <c r="I499" s="32" t="s">
        <v>2191</v>
      </c>
      <c r="J499" s="29"/>
      <c r="K499" s="29" t="s">
        <v>1075</v>
      </c>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v>33</v>
      </c>
      <c r="AN499" s="29">
        <v>220</v>
      </c>
      <c r="AO499" s="29">
        <v>1</v>
      </c>
      <c r="AP499" s="29">
        <v>300</v>
      </c>
      <c r="AQ499" s="14" t="s">
        <v>623</v>
      </c>
      <c r="AR499" s="1" t="s">
        <v>2192</v>
      </c>
    </row>
    <row r="500" spans="1:44" ht="15" x14ac:dyDescent="0.25">
      <c r="A500" s="28" t="s">
        <v>2193</v>
      </c>
      <c r="B500" s="29" t="s">
        <v>2194</v>
      </c>
      <c r="C500" s="29" t="s">
        <v>2195</v>
      </c>
      <c r="D500" s="1" t="str">
        <f t="shared" si="26"/>
        <v>Documents\GitHub\Ozon_upload\barcode\amazing pics\Термонаклейка Штрихкод I Love You.pdf</v>
      </c>
      <c r="E500" s="30" t="str">
        <f>CONCATENATE("C:\Users\",username!A82,"\Documents\GitHub\Ozon_upload\DTF_images\tatyana\A4\set3\",C500,".tif")</f>
        <v>C:\Users\maxim\Documents\GitHub\Ozon_upload\DTF_images\tatyana\A4\set3\52_horiz.tif</v>
      </c>
      <c r="F500" s="29">
        <v>0</v>
      </c>
      <c r="G500" s="29">
        <v>1</v>
      </c>
      <c r="H500" s="29"/>
      <c r="I500" s="29" t="s">
        <v>2196</v>
      </c>
      <c r="J500" s="29"/>
      <c r="K500" s="29" t="s">
        <v>1075</v>
      </c>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v>33</v>
      </c>
      <c r="AN500" s="29">
        <v>220</v>
      </c>
      <c r="AO500" s="29">
        <v>1</v>
      </c>
      <c r="AP500" s="29">
        <v>300</v>
      </c>
      <c r="AQ500" s="14" t="s">
        <v>623</v>
      </c>
      <c r="AR500" s="1" t="s">
        <v>2197</v>
      </c>
    </row>
    <row r="501" spans="1:44" x14ac:dyDescent="0.2">
      <c r="A501" s="32" t="s">
        <v>2198</v>
      </c>
      <c r="B501" s="29" t="s">
        <v>2199</v>
      </c>
      <c r="C501" s="29" t="s">
        <v>2200</v>
      </c>
      <c r="D501" s="1" t="str">
        <f t="shared" si="26"/>
        <v>Documents\GitHub\Ozon_upload\barcode\amazing pics\Термонаклейка Дисней злодеи Друзья Friends .pdf</v>
      </c>
      <c r="E501" s="30" t="str">
        <f>CONCATENATE("C:\Users\",username!A83,"\Documents\GitHub\Ozon_upload\DTF_images\tatyana\A4\set3\",C501,".tif")</f>
        <v>C:\Users\maxim\Documents\GitHub\Ozon_upload\DTF_images\tatyana\A4\set3\53_horiz.tif</v>
      </c>
      <c r="F501" s="29">
        <v>0</v>
      </c>
      <c r="G501" s="29">
        <v>1</v>
      </c>
      <c r="H501" s="29"/>
      <c r="I501" s="29" t="s">
        <v>2201</v>
      </c>
      <c r="J501" s="29"/>
      <c r="K501" s="29" t="s">
        <v>1075</v>
      </c>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v>33</v>
      </c>
      <c r="AN501" s="29">
        <v>220</v>
      </c>
      <c r="AO501" s="29">
        <v>1</v>
      </c>
      <c r="AP501" s="29">
        <v>300</v>
      </c>
      <c r="AQ501" s="14" t="s">
        <v>623</v>
      </c>
      <c r="AR501" s="1" t="s">
        <v>2202</v>
      </c>
    </row>
    <row r="502" spans="1:44" ht="15" x14ac:dyDescent="0.25">
      <c r="A502" s="28" t="s">
        <v>2203</v>
      </c>
      <c r="B502" s="29" t="s">
        <v>2204</v>
      </c>
      <c r="C502" s="29" t="s">
        <v>2205</v>
      </c>
      <c r="D502" s="1" t="str">
        <f t="shared" si="26"/>
        <v>Documents\GitHub\Ozon_upload\barcode\amazing pics\Термонаклейка Леопард пятна сердечки голова.pdf</v>
      </c>
      <c r="E502" s="30" t="str">
        <f>CONCATENATE("C:\Users\",username!A84,"\Documents\GitHub\Ozon_upload\DTF_images\tatyana\A4\set3\",C502,".tif")</f>
        <v>C:\Users\maxim\Documents\GitHub\Ozon_upload\DTF_images\tatyana\A4\set3\54_vert.tif</v>
      </c>
      <c r="F502" s="29">
        <v>1</v>
      </c>
      <c r="G502" s="29">
        <v>1</v>
      </c>
      <c r="H502" s="29"/>
      <c r="I502" s="29" t="s">
        <v>2206</v>
      </c>
      <c r="J502" s="29"/>
      <c r="K502" s="29" t="s">
        <v>1075</v>
      </c>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v>33</v>
      </c>
      <c r="AN502" s="29">
        <v>220</v>
      </c>
      <c r="AO502" s="29">
        <v>1</v>
      </c>
      <c r="AP502" s="29">
        <v>300</v>
      </c>
      <c r="AQ502" s="14" t="s">
        <v>623</v>
      </c>
      <c r="AR502" s="1" t="s">
        <v>2207</v>
      </c>
    </row>
    <row r="503" spans="1:44" ht="15" x14ac:dyDescent="0.25">
      <c r="A503" s="28" t="s">
        <v>2208</v>
      </c>
      <c r="B503" s="29" t="s">
        <v>2209</v>
      </c>
      <c r="C503" s="29" t="s">
        <v>2210</v>
      </c>
      <c r="D503" s="1" t="str">
        <f t="shared" si="26"/>
        <v>Documents\GitHub\Ozon_upload\barcode\amazing pics\Термонаклейка Матрешка цветы.pdf</v>
      </c>
      <c r="E503" s="30" t="str">
        <f>CONCATENATE("C:\Users\",username!A85,"\Documents\GitHub\Ozon_upload\DTF_images\tatyana\A4\set3\",C503,".tif")</f>
        <v>C:\Users\maxim\Documents\GitHub\Ozon_upload\DTF_images\tatyana\A4\set3\55_vert.tif</v>
      </c>
      <c r="F503" s="29">
        <v>1</v>
      </c>
      <c r="G503" s="29">
        <v>1</v>
      </c>
      <c r="H503" s="29"/>
      <c r="I503" s="29" t="s">
        <v>2211</v>
      </c>
      <c r="J503" s="29"/>
      <c r="K503" s="29" t="s">
        <v>1075</v>
      </c>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v>33</v>
      </c>
      <c r="AN503" s="29">
        <v>220</v>
      </c>
      <c r="AO503" s="29">
        <v>1</v>
      </c>
      <c r="AP503" s="29">
        <v>300</v>
      </c>
      <c r="AQ503" s="14" t="s">
        <v>623</v>
      </c>
      <c r="AR503" s="1" t="s">
        <v>2212</v>
      </c>
    </row>
    <row r="504" spans="1:44" ht="15" x14ac:dyDescent="0.25">
      <c r="A504" s="28" t="s">
        <v>2213</v>
      </c>
      <c r="B504" s="29" t="s">
        <v>2214</v>
      </c>
      <c r="C504" s="29" t="s">
        <v>2215</v>
      </c>
      <c r="D504" s="1" t="str">
        <f t="shared" si="26"/>
        <v>Documents\GitHub\Ozon_upload\barcode\amazing pics\Термонаклейка Леопард пятна сердечки полностью.pdf</v>
      </c>
      <c r="E504" s="30" t="str">
        <f>CONCATENATE("C:\Users\",username!A86,"\Documents\GitHub\Ozon_upload\DTF_images\tatyana\A4\set3\",C504,".tif")</f>
        <v>C:\Users\maxim\Documents\GitHub\Ozon_upload\DTF_images\tatyana\A4\set3\56_vert.tif</v>
      </c>
      <c r="F504" s="29">
        <v>1</v>
      </c>
      <c r="G504" s="29">
        <v>1</v>
      </c>
      <c r="H504" s="29"/>
      <c r="I504" s="29" t="s">
        <v>2216</v>
      </c>
      <c r="J504" s="29"/>
      <c r="K504" s="29" t="s">
        <v>1075</v>
      </c>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v>33</v>
      </c>
      <c r="AN504" s="29">
        <v>220</v>
      </c>
      <c r="AO504" s="29">
        <v>1</v>
      </c>
      <c r="AP504" s="29">
        <v>300</v>
      </c>
      <c r="AQ504" s="14" t="s">
        <v>623</v>
      </c>
      <c r="AR504" s="1" t="s">
        <v>2217</v>
      </c>
    </row>
    <row r="505" spans="1:44" ht="15" x14ac:dyDescent="0.25">
      <c r="A505" s="28" t="s">
        <v>2218</v>
      </c>
      <c r="B505" s="29" t="s">
        <v>2219</v>
      </c>
      <c r="C505" s="29" t="s">
        <v>2220</v>
      </c>
      <c r="D505" s="1" t="str">
        <f t="shared" si="26"/>
        <v>Documents\GitHub\Ozon_upload\barcode\amazing pics\Термонаклейка Цветы Синии Амариллис.pdf</v>
      </c>
      <c r="E505" s="30" t="str">
        <f>CONCATENATE("C:\Users\",username!A87,"\Documents\GitHub\Ozon_upload\DTF_images\tatyana\A4\set3\",C505,".tif")</f>
        <v>C:\Users\maxim\Documents\GitHub\Ozon_upload\DTF_images\tatyana\A4\set3\57_vert.tif</v>
      </c>
      <c r="F505" s="29">
        <v>1</v>
      </c>
      <c r="G505" s="29">
        <v>1</v>
      </c>
      <c r="H505" s="29"/>
      <c r="I505" s="29" t="s">
        <v>2221</v>
      </c>
      <c r="J505" s="29"/>
      <c r="K505" s="29" t="s">
        <v>1075</v>
      </c>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v>33</v>
      </c>
      <c r="AN505" s="29">
        <v>220</v>
      </c>
      <c r="AO505" s="29">
        <v>1</v>
      </c>
      <c r="AP505" s="29">
        <v>300</v>
      </c>
      <c r="AQ505" s="14" t="s">
        <v>623</v>
      </c>
      <c r="AR505" s="1" t="s">
        <v>2222</v>
      </c>
    </row>
    <row r="506" spans="1:44" ht="15" x14ac:dyDescent="0.25">
      <c r="A506" s="28" t="s">
        <v>2223</v>
      </c>
      <c r="B506" s="29" t="s">
        <v>2224</v>
      </c>
      <c r="C506" s="29" t="s">
        <v>2225</v>
      </c>
      <c r="D506" s="1" t="str">
        <f t="shared" si="26"/>
        <v>Documents\GitHub\Ozon_upload\barcode\amazing pics\Термонаклейка Перья Яркие Wild Spirit.pdf</v>
      </c>
      <c r="E506" s="30" t="str">
        <f>CONCATENATE("C:\Users\",username!A88,"\Documents\GitHub\Ozon_upload\DTF_images\tatyana\A4\set3\",C506,".tif")</f>
        <v>C:\Users\maxim\Documents\GitHub\Ozon_upload\DTF_images\tatyana\A4\set3\58_horiz.tif</v>
      </c>
      <c r="F506" s="29">
        <v>1</v>
      </c>
      <c r="G506" s="29">
        <v>1</v>
      </c>
      <c r="H506" s="29"/>
      <c r="I506" s="29" t="s">
        <v>2226</v>
      </c>
      <c r="J506" s="29"/>
      <c r="K506" s="29" t="s">
        <v>1075</v>
      </c>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v>33</v>
      </c>
      <c r="AN506" s="29">
        <v>220</v>
      </c>
      <c r="AO506" s="29">
        <v>1</v>
      </c>
      <c r="AP506" s="29">
        <v>300</v>
      </c>
      <c r="AQ506" s="14" t="s">
        <v>623</v>
      </c>
      <c r="AR506" s="1" t="s">
        <v>2227</v>
      </c>
    </row>
    <row r="507" spans="1:44" ht="15" x14ac:dyDescent="0.25">
      <c r="A507" s="28" t="s">
        <v>2228</v>
      </c>
      <c r="B507" s="29" t="s">
        <v>2229</v>
      </c>
      <c r="C507" s="29" t="s">
        <v>2230</v>
      </c>
      <c r="D507" s="1" t="str">
        <f t="shared" si="26"/>
        <v>Documents\GitHub\Ozon_upload\barcode\amazing pics\Термонаклейка Перья Украшение Ожерелье.pdf</v>
      </c>
      <c r="E507" s="30" t="str">
        <f>CONCATENATE("C:\Users\",username!A89,"\Documents\GitHub\Ozon_upload\DTF_images\tatyana\A4\set3\",C507,".tif")</f>
        <v>C:\Users\maxim\Documents\GitHub\Ozon_upload\DTF_images\tatyana\A4\set3\59_horiz.tif</v>
      </c>
      <c r="F507" s="29">
        <v>0</v>
      </c>
      <c r="G507" s="29">
        <v>1</v>
      </c>
      <c r="H507" s="29"/>
      <c r="I507" s="29" t="s">
        <v>2231</v>
      </c>
      <c r="J507" s="29"/>
      <c r="K507" s="29" t="s">
        <v>1075</v>
      </c>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v>33</v>
      </c>
      <c r="AN507" s="29">
        <v>220</v>
      </c>
      <c r="AO507" s="29">
        <v>1</v>
      </c>
      <c r="AP507" s="29">
        <v>300</v>
      </c>
      <c r="AQ507" s="14" t="s">
        <v>623</v>
      </c>
      <c r="AR507" s="1" t="s">
        <v>2232</v>
      </c>
    </row>
    <row r="508" spans="1:44" ht="15" x14ac:dyDescent="0.25">
      <c r="A508" s="28" t="s">
        <v>2233</v>
      </c>
      <c r="B508" s="29" t="s">
        <v>2234</v>
      </c>
      <c r="C508" s="29" t="s">
        <v>2235</v>
      </c>
      <c r="D508" s="1" t="str">
        <f t="shared" si="26"/>
        <v>Documents\GitHub\Ozon_upload\barcode\amazing pics\Термонаклейка Сердце Бабочки летят.pdf</v>
      </c>
      <c r="E508" s="30" t="str">
        <f>CONCATENATE("C:\Users\",username!A90,"\Documents\GitHub\Ozon_upload\DTF_images\tatyana\A4\set3\",C508,".tif")</f>
        <v>C:\Users\maxim\Documents\GitHub\Ozon_upload\DTF_images\tatyana\A4\set3\60_vert.tif</v>
      </c>
      <c r="F508" s="29">
        <v>1</v>
      </c>
      <c r="G508" s="29">
        <v>1</v>
      </c>
      <c r="H508" s="29"/>
      <c r="I508" s="29" t="s">
        <v>2236</v>
      </c>
      <c r="J508" s="29"/>
      <c r="K508" s="29" t="s">
        <v>1075</v>
      </c>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v>33</v>
      </c>
      <c r="AN508" s="29">
        <v>220</v>
      </c>
      <c r="AO508" s="29">
        <v>1</v>
      </c>
      <c r="AP508" s="29">
        <v>300</v>
      </c>
      <c r="AQ508" s="14" t="s">
        <v>623</v>
      </c>
      <c r="AR508" s="1" t="s">
        <v>2237</v>
      </c>
    </row>
    <row r="509" spans="1:44" ht="15" x14ac:dyDescent="0.25">
      <c r="A509" s="28" t="s">
        <v>2238</v>
      </c>
      <c r="B509" s="29" t="s">
        <v>2239</v>
      </c>
      <c r="C509" s="29" t="s">
        <v>2240</v>
      </c>
      <c r="D509" s="1" t="str">
        <f t="shared" si="26"/>
        <v>Documents\GitHub\Ozon_upload\barcode\amazing pics\Термонаклейка Рука Фатимы.pdf</v>
      </c>
      <c r="E509" s="30" t="str">
        <f>CONCATENATE("C:\Users\",username!A91,"\Documents\GitHub\Ozon_upload\DTF_images\tatyana\A4\set3\",C509,".tif")</f>
        <v>C:\Users\maxim\Documents\GitHub\Ozon_upload\DTF_images\tatyana\A4\set3\62_vert.tif</v>
      </c>
      <c r="F509" s="29">
        <v>1</v>
      </c>
      <c r="G509" s="29">
        <v>1</v>
      </c>
      <c r="H509" s="29"/>
      <c r="I509" s="29" t="s">
        <v>2241</v>
      </c>
      <c r="J509" s="29"/>
      <c r="K509" s="29" t="s">
        <v>1075</v>
      </c>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v>33</v>
      </c>
      <c r="AN509" s="29">
        <v>220</v>
      </c>
      <c r="AO509" s="29">
        <v>1</v>
      </c>
      <c r="AP509" s="29">
        <v>300</v>
      </c>
      <c r="AQ509" s="14" t="s">
        <v>623</v>
      </c>
      <c r="AR509" s="1" t="s">
        <v>2242</v>
      </c>
    </row>
    <row r="510" spans="1:44" ht="15" x14ac:dyDescent="0.25">
      <c r="A510" s="28" t="s">
        <v>2243</v>
      </c>
      <c r="B510" s="29" t="s">
        <v>2244</v>
      </c>
      <c r="C510" s="29" t="s">
        <v>2245</v>
      </c>
      <c r="D510" s="1" t="str">
        <f t="shared" si="26"/>
        <v>Documents\GitHub\Ozon_upload\barcode\amazing pics\Термонаклейка Кассета цветы Vintage Soul.pdf</v>
      </c>
      <c r="E510" s="30" t="str">
        <f>CONCATENATE("C:\Users\",username!A92,"\Documents\GitHub\Ozon_upload\DTF_images\tatyana\A4\set3\",C510,".tif")</f>
        <v>C:\Users\maxim\Documents\GitHub\Ozon_upload\DTF_images\tatyana\A4\set3\64_vert.tif</v>
      </c>
      <c r="F510" s="29">
        <v>1</v>
      </c>
      <c r="G510" s="29">
        <v>1</v>
      </c>
      <c r="H510" s="29"/>
      <c r="I510" s="29" t="s">
        <v>2246</v>
      </c>
      <c r="J510" s="29"/>
      <c r="K510" s="29" t="s">
        <v>1075</v>
      </c>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v>33</v>
      </c>
      <c r="AN510" s="29">
        <v>220</v>
      </c>
      <c r="AO510" s="29">
        <v>1</v>
      </c>
      <c r="AP510" s="29">
        <v>300</v>
      </c>
      <c r="AQ510" s="14" t="s">
        <v>623</v>
      </c>
      <c r="AR510" s="1" t="s">
        <v>2247</v>
      </c>
    </row>
    <row r="511" spans="1:44" ht="15" x14ac:dyDescent="0.25">
      <c r="A511" s="28" t="s">
        <v>2248</v>
      </c>
      <c r="B511" s="29" t="s">
        <v>2249</v>
      </c>
      <c r="C511" s="29" t="s">
        <v>2250</v>
      </c>
      <c r="D511" s="1" t="str">
        <f t="shared" si="26"/>
        <v>Documents\GitHub\Ozon_upload\barcode\amazing pics\Термонаклейка Большая волна в Канагаве Солнце.pdf</v>
      </c>
      <c r="E511" s="30" t="str">
        <f>CONCATENATE("C:\Users\",username!A93,"\Documents\GitHub\Ozon_upload\DTF_images\tatyana\A4\set3\",C511,".tif")</f>
        <v>C:\Users\maxim\Documents\GitHub\Ozon_upload\DTF_images\tatyana\A4\set3\65_vert.tif</v>
      </c>
      <c r="F511" s="29">
        <v>1</v>
      </c>
      <c r="G511" s="29">
        <v>1</v>
      </c>
      <c r="H511" s="29"/>
      <c r="I511" s="29" t="s">
        <v>2251</v>
      </c>
      <c r="J511" s="29"/>
      <c r="K511" s="29" t="s">
        <v>1075</v>
      </c>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v>33</v>
      </c>
      <c r="AN511" s="29">
        <v>220</v>
      </c>
      <c r="AO511" s="29">
        <v>1</v>
      </c>
      <c r="AP511" s="29">
        <v>300</v>
      </c>
      <c r="AQ511" s="14" t="s">
        <v>623</v>
      </c>
      <c r="AR511" s="1" t="s">
        <v>2252</v>
      </c>
    </row>
    <row r="512" spans="1:44" ht="15" x14ac:dyDescent="0.25">
      <c r="A512" s="28" t="s">
        <v>2253</v>
      </c>
      <c r="B512" s="29" t="s">
        <v>2254</v>
      </c>
      <c r="C512" s="29" t="s">
        <v>2255</v>
      </c>
      <c r="D512" s="1" t="str">
        <f t="shared" si="26"/>
        <v>Documents\GitHub\Ozon_upload\barcode\amazing pics\Термонаклейка Фламинго Flamingo цветы.pdf</v>
      </c>
      <c r="E512" s="30" t="str">
        <f>CONCATENATE("C:\Users\",username!A94,"\Documents\GitHub\Ozon_upload\DTF_images\tatyana\A4\set3\",C512,".tif")</f>
        <v>C:\Users\maxim\Documents\GitHub\Ozon_upload\DTF_images\tatyana\A4\set3\66_vert.tif</v>
      </c>
      <c r="F512" s="29">
        <v>1</v>
      </c>
      <c r="G512" s="29">
        <v>1</v>
      </c>
      <c r="H512" s="29"/>
      <c r="I512" s="29" t="s">
        <v>2256</v>
      </c>
      <c r="J512" s="29"/>
      <c r="K512" s="29" t="s">
        <v>1075</v>
      </c>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v>33</v>
      </c>
      <c r="AN512" s="29">
        <v>220</v>
      </c>
      <c r="AO512" s="29">
        <v>1</v>
      </c>
      <c r="AP512" s="29">
        <v>300</v>
      </c>
      <c r="AQ512" s="14" t="s">
        <v>623</v>
      </c>
      <c r="AR512" s="1" t="s">
        <v>2257</v>
      </c>
    </row>
    <row r="513" spans="1:44" ht="15" x14ac:dyDescent="0.25">
      <c r="A513" s="28" t="s">
        <v>2258</v>
      </c>
      <c r="B513" s="29" t="s">
        <v>2259</v>
      </c>
      <c r="C513" s="29" t="s">
        <v>2260</v>
      </c>
      <c r="D513" s="1" t="str">
        <f t="shared" si="26"/>
        <v>Documents\GitHub\Ozon_upload\barcode\amazing pics\Термонаклейка Инь Янь Леопарды.pdf</v>
      </c>
      <c r="E513" s="30" t="str">
        <f>CONCATENATE("C:\Users\",username!A95,"\Documents\GitHub\Ozon_upload\DTF_images\tatyana\A4\set3\",C513,".tif")</f>
        <v>C:\Users\maxim\Documents\GitHub\Ozon_upload\DTF_images\tatyana\A4\set3\69_vert.tif</v>
      </c>
      <c r="F513" s="29">
        <v>1</v>
      </c>
      <c r="G513" s="29">
        <v>1</v>
      </c>
      <c r="H513" s="29"/>
      <c r="I513" s="29" t="s">
        <v>2261</v>
      </c>
      <c r="J513" s="29"/>
      <c r="K513" s="29" t="s">
        <v>1075</v>
      </c>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v>33</v>
      </c>
      <c r="AN513" s="29">
        <v>220</v>
      </c>
      <c r="AO513" s="29">
        <v>1</v>
      </c>
      <c r="AP513" s="29">
        <v>300</v>
      </c>
      <c r="AQ513" s="14" t="s">
        <v>623</v>
      </c>
      <c r="AR513" s="1" t="s">
        <v>2262</v>
      </c>
    </row>
    <row r="514" spans="1:44" ht="15" x14ac:dyDescent="0.25">
      <c r="A514" s="28" t="s">
        <v>2263</v>
      </c>
      <c r="B514" s="29" t="s">
        <v>2264</v>
      </c>
      <c r="C514" s="29" t="s">
        <v>2265</v>
      </c>
      <c r="D514" s="1" t="str">
        <f t="shared" si="26"/>
        <v>Documents\GitHub\Ozon_upload\barcode\amazing pics\Термонаклейка Змеи черная белая 2шт.pdf</v>
      </c>
      <c r="E514" s="30" t="str">
        <f>CONCATENATE("C:\Users\",username!A96,"\Documents\GitHub\Ozon_upload\DTF_images\tatyana\A4\set3\",C514,".tif")</f>
        <v>C:\Users\maxim\Documents\GitHub\Ozon_upload\DTF_images\tatyana\A4\set3\70_vert.tif</v>
      </c>
      <c r="F514" s="29">
        <v>1</v>
      </c>
      <c r="G514" s="29">
        <v>1</v>
      </c>
      <c r="H514" s="29"/>
      <c r="I514" s="29" t="s">
        <v>2266</v>
      </c>
      <c r="J514" s="29"/>
      <c r="K514" s="29" t="s">
        <v>1075</v>
      </c>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v>33</v>
      </c>
      <c r="AN514" s="29">
        <v>220</v>
      </c>
      <c r="AO514" s="29">
        <v>1</v>
      </c>
      <c r="AP514" s="29">
        <v>300</v>
      </c>
      <c r="AQ514" s="14" t="s">
        <v>623</v>
      </c>
      <c r="AR514" s="1" t="s">
        <v>2267</v>
      </c>
    </row>
    <row r="515" spans="1:44" ht="15" x14ac:dyDescent="0.25">
      <c r="A515" s="34" t="s">
        <v>2268</v>
      </c>
      <c r="D515" s="1" t="str">
        <f t="shared" si="26"/>
        <v>Documents\GitHub\Ozon_upload\barcode\amazing pics\Термонаклейка набор Спанч Боб Sponge Bob .pdf</v>
      </c>
      <c r="E515" s="1" t="str">
        <f>CONCATENATE("C:\Users\",username!A28,"\Documents\GitHub\Ozon_upload\DTF_images\tatyana\A4\bundle\",C515,".tif")</f>
        <v>C:\Users\maxim\Documents\GitHub\Ozon_upload\DTF_images\tatyana\A4\bundle\.tif</v>
      </c>
      <c r="F515" s="1">
        <v>1</v>
      </c>
      <c r="G515" s="1">
        <v>1</v>
      </c>
      <c r="I515" s="1" t="s">
        <v>622</v>
      </c>
      <c r="K515" s="1" t="s">
        <v>1075</v>
      </c>
      <c r="AM515" s="29">
        <v>33</v>
      </c>
      <c r="AN515" s="1">
        <v>220</v>
      </c>
      <c r="AO515" s="1">
        <v>1</v>
      </c>
      <c r="AP515" s="1">
        <v>300</v>
      </c>
      <c r="AQ515" s="2" t="s">
        <v>623</v>
      </c>
    </row>
    <row r="516" spans="1:44" ht="15" x14ac:dyDescent="0.25">
      <c r="A516" s="35" t="s">
        <v>2269</v>
      </c>
      <c r="B516" s="36" t="s">
        <v>2270</v>
      </c>
      <c r="C516" s="37" t="s">
        <v>2271</v>
      </c>
      <c r="D516" s="1" t="str">
        <f t="shared" si="26"/>
        <v>Documents\GitHub\Ozon_upload\barcode\amazing pics\Термонаклейка Девушка в синем у моря.pdf</v>
      </c>
      <c r="E516" s="21" t="str">
        <f>CONCATENATE("C:\Users\",username!A121,"\Documents\GitHub\Ozon_upload\DTF_images\tatyana\A4\set6\",C516,".tif")</f>
        <v>C:\Users\maxim\Documents\GitHub\Ozon_upload\DTF_images\tatyana\A4\set6\img_1_vert.tif</v>
      </c>
      <c r="F516" s="21">
        <v>1</v>
      </c>
      <c r="G516" s="21">
        <v>1</v>
      </c>
      <c r="I516" s="38" t="s">
        <v>2272</v>
      </c>
      <c r="K516" s="21" t="s">
        <v>1075</v>
      </c>
      <c r="AM516" s="21">
        <v>33</v>
      </c>
      <c r="AN516" s="21">
        <v>220</v>
      </c>
      <c r="AO516" s="21">
        <v>1</v>
      </c>
      <c r="AP516" s="21">
        <v>300</v>
      </c>
      <c r="AQ516" s="2" t="s">
        <v>623</v>
      </c>
    </row>
    <row r="517" spans="1:44" ht="15" x14ac:dyDescent="0.25">
      <c r="A517" s="35" t="s">
        <v>2273</v>
      </c>
      <c r="B517" s="39" t="s">
        <v>2274</v>
      </c>
      <c r="C517" s="37" t="s">
        <v>2275</v>
      </c>
      <c r="D517" s="1" t="str">
        <f t="shared" si="26"/>
        <v>Documents\GitHub\Ozon_upload\barcode\amazing pics\Термонаклейка Вид на пляж из домика.pdf</v>
      </c>
      <c r="E517" s="21" t="str">
        <f>CONCATENATE("C:\Users\",username!A122,"\Documents\GitHub\Ozon_upload\DTF_images\tatyana\A4\set6\",C517,".tif")</f>
        <v>C:\Users\maxim\Documents\GitHub\Ozon_upload\DTF_images\tatyana\A4\set6\img_2_vert.tif</v>
      </c>
      <c r="F517" s="21">
        <v>1</v>
      </c>
      <c r="G517" s="21">
        <v>1</v>
      </c>
      <c r="I517" s="38" t="s">
        <v>2276</v>
      </c>
      <c r="K517" s="21" t="s">
        <v>1075</v>
      </c>
      <c r="AM517" s="21">
        <v>33</v>
      </c>
      <c r="AN517" s="21">
        <v>220</v>
      </c>
      <c r="AO517" s="21">
        <v>1</v>
      </c>
      <c r="AP517" s="21">
        <v>300</v>
      </c>
      <c r="AQ517" s="2" t="s">
        <v>623</v>
      </c>
    </row>
    <row r="518" spans="1:44" ht="15" x14ac:dyDescent="0.25">
      <c r="A518" s="35" t="s">
        <v>2277</v>
      </c>
      <c r="B518" s="39" t="s">
        <v>2278</v>
      </c>
      <c r="C518" s="37" t="s">
        <v>2279</v>
      </c>
      <c r="D518" s="1" t="str">
        <f t="shared" si="26"/>
        <v>Documents\GitHub\Ozon_upload\barcode\amazing pics\Термонаклейка Графичное лицо в чёрно-белом.pdf</v>
      </c>
      <c r="E518" s="21" t="str">
        <f>CONCATENATE("C:\Users\",username!A123,"\Documents\GitHub\Ozon_upload\DTF_images\tatyana\A4\set6\",C518,".tif")</f>
        <v>C:\Users\maxim\Documents\GitHub\Ozon_upload\DTF_images\tatyana\A4\set6\img_3_vert.tif</v>
      </c>
      <c r="F518" s="21">
        <v>1</v>
      </c>
      <c r="G518" s="21">
        <v>1</v>
      </c>
      <c r="I518" s="38" t="s">
        <v>2280</v>
      </c>
      <c r="K518" s="21" t="s">
        <v>1075</v>
      </c>
      <c r="AM518" s="21">
        <v>33</v>
      </c>
      <c r="AN518" s="21">
        <v>220</v>
      </c>
      <c r="AO518" s="21">
        <v>1</v>
      </c>
      <c r="AP518" s="21">
        <v>300</v>
      </c>
      <c r="AQ518" s="2" t="s">
        <v>623</v>
      </c>
    </row>
    <row r="519" spans="1:44" ht="15" x14ac:dyDescent="0.25">
      <c r="A519" s="35" t="s">
        <v>2281</v>
      </c>
      <c r="B519" s="36" t="s">
        <v>2282</v>
      </c>
      <c r="C519" s="37" t="s">
        <v>2283</v>
      </c>
      <c r="D519" s="1" t="str">
        <f t="shared" si="26"/>
        <v>Documents\GitHub\Ozon_upload\barcode\amazing pics\Термонаклейка Чёрная кошка с кругом цифра 9.pdf</v>
      </c>
      <c r="E519" s="21" t="str">
        <f>CONCATENATE("C:\Users\",username!A124,"\Documents\GitHub\Ozon_upload\DTF_images\tatyana\A4\set6\",C519,".tif")</f>
        <v>C:\Users\maxim\Documents\GitHub\Ozon_upload\DTF_images\tatyana\A4\set6\img_4_vert.tif</v>
      </c>
      <c r="F519" s="21">
        <v>1</v>
      </c>
      <c r="G519" s="21">
        <v>1</v>
      </c>
      <c r="I519" s="38" t="s">
        <v>2284</v>
      </c>
      <c r="K519" s="21" t="s">
        <v>1075</v>
      </c>
      <c r="AM519" s="21">
        <v>33</v>
      </c>
      <c r="AN519" s="21">
        <v>220</v>
      </c>
      <c r="AO519" s="21">
        <v>1</v>
      </c>
      <c r="AP519" s="21">
        <v>300</v>
      </c>
      <c r="AQ519" s="2" t="s">
        <v>623</v>
      </c>
    </row>
    <row r="520" spans="1:44" ht="15" x14ac:dyDescent="0.25">
      <c r="A520" s="35" t="s">
        <v>2285</v>
      </c>
      <c r="B520" s="39" t="s">
        <v>2286</v>
      </c>
      <c r="C520" s="37" t="s">
        <v>2287</v>
      </c>
      <c r="D520" s="1" t="str">
        <f t="shared" si="26"/>
        <v>Documents\GitHub\Ozon_upload\barcode\amazing pics\Термонаклейка Сияй, чёрт возьми - корона.pdf</v>
      </c>
      <c r="E520" s="21" t="str">
        <f>CONCATENATE("C:\Users\",username!A125,"\Documents\GitHub\Ozon_upload\DTF_images\tatyana\A4\set6\",C520,".tif")</f>
        <v>C:\Users\maxim\Documents\GitHub\Ozon_upload\DTF_images\tatyana\A4\set6\img_5_vert.tif</v>
      </c>
      <c r="F520" s="21">
        <v>1</v>
      </c>
      <c r="G520" s="21">
        <v>1</v>
      </c>
      <c r="I520" s="38" t="s">
        <v>2288</v>
      </c>
      <c r="K520" s="21" t="s">
        <v>1075</v>
      </c>
      <c r="AM520" s="21">
        <v>33</v>
      </c>
      <c r="AN520" s="21">
        <v>220</v>
      </c>
      <c r="AO520" s="21">
        <v>1</v>
      </c>
      <c r="AP520" s="21">
        <v>300</v>
      </c>
      <c r="AQ520" s="2" t="s">
        <v>623</v>
      </c>
    </row>
    <row r="521" spans="1:44" ht="15" x14ac:dyDescent="0.25">
      <c r="A521" s="35" t="s">
        <v>2289</v>
      </c>
      <c r="B521" s="36" t="s">
        <v>2290</v>
      </c>
      <c r="C521" s="37" t="s">
        <v>2291</v>
      </c>
      <c r="D521" s="1" t="str">
        <f t="shared" si="26"/>
        <v>Documents\GitHub\Ozon_upload\barcode\amazing pics\Термонаклейка Букет тюльпанов бело-синий фон.pdf</v>
      </c>
      <c r="E521" s="21" t="str">
        <f>CONCATENATE("C:\Users\",username!A126,"\Documents\GitHub\Ozon_upload\DTF_images\tatyana\A4\set6\",C521,".tif")</f>
        <v>C:\Users\maxim\Documents\GitHub\Ozon_upload\DTF_images\tatyana\A4\set6\img_6_vert.tif</v>
      </c>
      <c r="F521" s="21">
        <v>1</v>
      </c>
      <c r="G521" s="21">
        <v>1</v>
      </c>
      <c r="I521" s="38" t="s">
        <v>2292</v>
      </c>
      <c r="K521" s="21" t="s">
        <v>1075</v>
      </c>
      <c r="AM521" s="21">
        <v>33</v>
      </c>
      <c r="AN521" s="21">
        <v>220</v>
      </c>
      <c r="AO521" s="21">
        <v>1</v>
      </c>
      <c r="AP521" s="21">
        <v>300</v>
      </c>
      <c r="AQ521" s="2" t="s">
        <v>623</v>
      </c>
    </row>
    <row r="522" spans="1:44" ht="15" x14ac:dyDescent="0.25">
      <c r="A522" s="35" t="s">
        <v>2293</v>
      </c>
      <c r="B522" s="39" t="s">
        <v>2294</v>
      </c>
      <c r="C522" s="37" t="s">
        <v>2295</v>
      </c>
      <c r="D522" s="1" t="str">
        <f t="shared" ref="D522:D585" si="27">CONCATENATE("Documents\GitHub\Ozon_upload\barcode\amazing pics\", A522, ".pdf")</f>
        <v>Documents\GitHub\Ozon_upload\barcode\amazing pics\Термонаклейка Девушка в ромашковом поле.pdf</v>
      </c>
      <c r="E522" s="21" t="str">
        <f>CONCATENATE("C:\Users\",username!A127,"\Documents\GitHub\Ozon_upload\DTF_images\tatyana\A4\set6\",C522,".tif")</f>
        <v>C:\Users\maxim\Documents\GitHub\Ozon_upload\DTF_images\tatyana\A4\set6\img_7_vert.tif</v>
      </c>
      <c r="F522" s="21">
        <v>1</v>
      </c>
      <c r="G522" s="21">
        <v>1</v>
      </c>
      <c r="I522" s="38" t="s">
        <v>2296</v>
      </c>
      <c r="K522" s="21" t="s">
        <v>1075</v>
      </c>
      <c r="AM522" s="21">
        <v>33</v>
      </c>
      <c r="AN522" s="21">
        <v>220</v>
      </c>
      <c r="AO522" s="21">
        <v>1</v>
      </c>
      <c r="AP522" s="21">
        <v>300</v>
      </c>
      <c r="AQ522" s="2" t="s">
        <v>623</v>
      </c>
    </row>
    <row r="523" spans="1:44" ht="15" x14ac:dyDescent="0.25">
      <c r="A523" s="35" t="s">
        <v>2297</v>
      </c>
      <c r="B523" s="39" t="s">
        <v>2298</v>
      </c>
      <c r="C523" s="37" t="s">
        <v>2299</v>
      </c>
      <c r="D523" s="1" t="str">
        <f t="shared" si="27"/>
        <v>Documents\GitHub\Ozon_upload\barcode\amazing pics\Термонаклейка Девушка ebis ono by horse.pdf</v>
      </c>
      <c r="E523" s="21" t="str">
        <f>CONCATENATE("C:\Users\",username!A128,"\Documents\GitHub\Ozon_upload\DTF_images\tatyana\A4\set6\",C523,".tif")</f>
        <v>C:\Users\maxim\Documents\GitHub\Ozon_upload\DTF_images\tatyana\A4\set6\img_8_vert.tif</v>
      </c>
      <c r="F523" s="21">
        <v>1</v>
      </c>
      <c r="G523" s="21">
        <v>1</v>
      </c>
      <c r="I523" s="38" t="s">
        <v>2300</v>
      </c>
      <c r="K523" s="21" t="s">
        <v>1075</v>
      </c>
      <c r="AM523" s="21">
        <v>33</v>
      </c>
      <c r="AN523" s="21">
        <v>220</v>
      </c>
      <c r="AO523" s="21">
        <v>1</v>
      </c>
      <c r="AP523" s="21">
        <v>300</v>
      </c>
      <c r="AQ523" s="2" t="s">
        <v>623</v>
      </c>
    </row>
    <row r="524" spans="1:44" ht="15" x14ac:dyDescent="0.25">
      <c r="A524" s="35" t="s">
        <v>2301</v>
      </c>
      <c r="B524" s="39" t="s">
        <v>2302</v>
      </c>
      <c r="C524" s="37" t="s">
        <v>2303</v>
      </c>
      <c r="D524" s="1" t="str">
        <f t="shared" si="27"/>
        <v>Documents\GitHub\Ozon_upload\barcode\amazing pics\Термонаклейка Девушка в белом на берегу моря.pdf</v>
      </c>
      <c r="E524" s="21" t="str">
        <f>CONCATENATE("C:\Users\",username!A129,"\Documents\GitHub\Ozon_upload\DTF_images\tatyana\A4\set6\",C524,".tif")</f>
        <v>C:\Users\maxim\Documents\GitHub\Ozon_upload\DTF_images\tatyana\A4\set6\img_9_vert.tif</v>
      </c>
      <c r="F524" s="21">
        <v>1</v>
      </c>
      <c r="G524" s="21">
        <v>1</v>
      </c>
      <c r="I524" s="38" t="s">
        <v>2304</v>
      </c>
      <c r="K524" s="21" t="s">
        <v>1075</v>
      </c>
      <c r="AM524" s="21">
        <v>33</v>
      </c>
      <c r="AN524" s="21">
        <v>220</v>
      </c>
      <c r="AO524" s="21">
        <v>1</v>
      </c>
      <c r="AP524" s="21">
        <v>300</v>
      </c>
      <c r="AQ524" s="2" t="s">
        <v>623</v>
      </c>
    </row>
    <row r="525" spans="1:44" ht="15" x14ac:dyDescent="0.25">
      <c r="A525" s="35" t="s">
        <v>2305</v>
      </c>
      <c r="B525" s="39" t="s">
        <v>2306</v>
      </c>
      <c r="C525" s="37" t="s">
        <v>2307</v>
      </c>
      <c r="D525" s="1" t="str">
        <f t="shared" si="27"/>
        <v>Documents\GitHub\Ozon_upload\barcode\amazing pics\Термонаклейка Эйфелева башня и лицо девушки.pdf</v>
      </c>
      <c r="E525" s="21" t="str">
        <f>CONCATENATE("C:\Users\",username!A130,"\Documents\GitHub\Ozon_upload\DTF_images\tatyana\A4\set6\",C525,".tif")</f>
        <v>C:\Users\maxim\Documents\GitHub\Ozon_upload\DTF_images\tatyana\A4\set6\img_10_vert.tif</v>
      </c>
      <c r="F525" s="21">
        <v>1</v>
      </c>
      <c r="G525" s="21">
        <v>1</v>
      </c>
      <c r="I525" s="38" t="s">
        <v>2308</v>
      </c>
      <c r="K525" s="21" t="s">
        <v>1075</v>
      </c>
      <c r="AM525" s="21">
        <v>33</v>
      </c>
      <c r="AN525" s="21">
        <v>220</v>
      </c>
      <c r="AO525" s="21">
        <v>1</v>
      </c>
      <c r="AP525" s="21">
        <v>300</v>
      </c>
      <c r="AQ525" s="2" t="s">
        <v>623</v>
      </c>
    </row>
    <row r="526" spans="1:44" ht="15" x14ac:dyDescent="0.25">
      <c r="A526" s="35" t="s">
        <v>2309</v>
      </c>
      <c r="B526" s="39" t="s">
        <v>2310</v>
      </c>
      <c r="C526" s="37" t="s">
        <v>2311</v>
      </c>
      <c r="D526" s="1" t="str">
        <f t="shared" si="27"/>
        <v>Documents\GitHub\Ozon_upload\barcode\amazing pics\Термонаклейка Девушка с цветами в арт-стиле.pdf</v>
      </c>
      <c r="E526" s="21" t="str">
        <f>CONCATENATE("C:\Users\",username!A131,"\Documents\GitHub\Ozon_upload\DTF_images\tatyana\A4\set6\",C526,".tif")</f>
        <v>C:\Users\maxim\Documents\GitHub\Ozon_upload\DTF_images\tatyana\A4\set6\img_11_vert.tif</v>
      </c>
      <c r="F526" s="21">
        <v>1</v>
      </c>
      <c r="G526" s="21">
        <v>1</v>
      </c>
      <c r="I526" s="38" t="s">
        <v>2312</v>
      </c>
      <c r="K526" s="21" t="s">
        <v>1075</v>
      </c>
      <c r="AM526" s="21">
        <v>33</v>
      </c>
      <c r="AN526" s="21">
        <v>220</v>
      </c>
      <c r="AO526" s="21">
        <v>1</v>
      </c>
      <c r="AP526" s="21">
        <v>300</v>
      </c>
      <c r="AQ526" s="2" t="s">
        <v>623</v>
      </c>
    </row>
    <row r="527" spans="1:44" ht="15" x14ac:dyDescent="0.25">
      <c r="A527" s="35" t="s">
        <v>2313</v>
      </c>
      <c r="B527" s="40" t="s">
        <v>2314</v>
      </c>
      <c r="C527" s="37" t="s">
        <v>2315</v>
      </c>
      <c r="D527" s="1" t="str">
        <f t="shared" si="27"/>
        <v>Documents\GitHub\Ozon_upload\barcode\amazing pics\Термонаклейка Тюльпаны акварель.pdf</v>
      </c>
      <c r="E527" s="21" t="str">
        <f>CONCATENATE("C:\Users\",username!A132,"\Documents\GitHub\Ozon_upload\DTF_images\tatyana\A4\set6\",C527,".tif")</f>
        <v>C:\Users\maxim\Documents\GitHub\Ozon_upload\DTF_images\tatyana\A4\set6\img_12_vert.tif</v>
      </c>
      <c r="F527" s="21">
        <v>1</v>
      </c>
      <c r="G527" s="21">
        <v>1</v>
      </c>
      <c r="I527" s="38" t="s">
        <v>2316</v>
      </c>
      <c r="K527" s="21" t="s">
        <v>1075</v>
      </c>
      <c r="AM527" s="21">
        <v>33</v>
      </c>
      <c r="AN527" s="21">
        <v>220</v>
      </c>
      <c r="AO527" s="21">
        <v>1</v>
      </c>
      <c r="AP527" s="21">
        <v>300</v>
      </c>
      <c r="AQ527" s="2" t="s">
        <v>623</v>
      </c>
    </row>
    <row r="528" spans="1:44" ht="15" x14ac:dyDescent="0.25">
      <c r="A528" s="35" t="s">
        <v>2317</v>
      </c>
      <c r="B528" s="39" t="s">
        <v>2318</v>
      </c>
      <c r="C528" s="37" t="s">
        <v>2319</v>
      </c>
      <c r="D528" s="1" t="str">
        <f t="shared" si="27"/>
        <v>Documents\GitHub\Ozon_upload\barcode\amazing pics\Термонаклейка Яхта у белых домиков море.pdf</v>
      </c>
      <c r="E528" s="21" t="str">
        <f>CONCATENATE("C:\Users\",username!A133,"\Documents\GitHub\Ozon_upload\DTF_images\tatyana\A4\set6\",C528,".tif")</f>
        <v>C:\Users\maxim\Documents\GitHub\Ozon_upload\DTF_images\tatyana\A4\set6\img_13_vert.tif</v>
      </c>
      <c r="F528" s="21">
        <v>1</v>
      </c>
      <c r="G528" s="21">
        <v>1</v>
      </c>
      <c r="I528" s="38" t="s">
        <v>2320</v>
      </c>
      <c r="K528" s="21" t="s">
        <v>1075</v>
      </c>
      <c r="AM528" s="21">
        <v>33</v>
      </c>
      <c r="AN528" s="21">
        <v>220</v>
      </c>
      <c r="AO528" s="21">
        <v>1</v>
      </c>
      <c r="AP528" s="21">
        <v>300</v>
      </c>
      <c r="AQ528" s="2" t="s">
        <v>623</v>
      </c>
    </row>
    <row r="529" spans="1:43" ht="15" x14ac:dyDescent="0.25">
      <c r="A529" s="35" t="s">
        <v>2321</v>
      </c>
      <c r="B529" s="39" t="s">
        <v>2322</v>
      </c>
      <c r="C529" s="37" t="s">
        <v>2323</v>
      </c>
      <c r="D529" s="1" t="str">
        <f t="shared" si="27"/>
        <v>Documents\GitHub\Ozon_upload\barcode\amazing pics\Термонаклейка Яркие лодки на бирюзовой море.pdf</v>
      </c>
      <c r="E529" s="21" t="str">
        <f>CONCATENATE("C:\Users\",username!A134,"\Documents\GitHub\Ozon_upload\DTF_images\tatyana\A4\set6\",C529,".tif")</f>
        <v>C:\Users\maxim\Documents\GitHub\Ozon_upload\DTF_images\tatyana\A4\set6\img_14_vert.tif</v>
      </c>
      <c r="F529" s="21">
        <v>1</v>
      </c>
      <c r="G529" s="21">
        <v>1</v>
      </c>
      <c r="I529" s="38" t="s">
        <v>2324</v>
      </c>
      <c r="K529" s="21" t="s">
        <v>1075</v>
      </c>
      <c r="AM529" s="21">
        <v>33</v>
      </c>
      <c r="AN529" s="21">
        <v>220</v>
      </c>
      <c r="AO529" s="21">
        <v>1</v>
      </c>
      <c r="AP529" s="21">
        <v>300</v>
      </c>
      <c r="AQ529" s="2" t="s">
        <v>623</v>
      </c>
    </row>
    <row r="530" spans="1:43" ht="15" x14ac:dyDescent="0.25">
      <c r="A530" s="35" t="s">
        <v>2325</v>
      </c>
      <c r="B530" s="39" t="s">
        <v>2326</v>
      </c>
      <c r="C530" s="37" t="s">
        <v>2327</v>
      </c>
      <c r="D530" s="1" t="str">
        <f t="shared" si="27"/>
        <v>Documents\GitHub\Ozon_upload\barcode\amazing pics\Термонаклейка Девушка в поле розовых цветов.pdf</v>
      </c>
      <c r="E530" s="21" t="str">
        <f>CONCATENATE("C:\Users\",username!A135,"\Documents\GitHub\Ozon_upload\DTF_images\tatyana\A4\set6\",C530,".tif")</f>
        <v>C:\Users\maxim\Documents\GitHub\Ozon_upload\DTF_images\tatyana\A4\set6\img_15_vert.tif</v>
      </c>
      <c r="F530" s="21">
        <v>1</v>
      </c>
      <c r="G530" s="21">
        <v>1</v>
      </c>
      <c r="I530" s="38" t="s">
        <v>2328</v>
      </c>
      <c r="K530" s="21" t="s">
        <v>1075</v>
      </c>
      <c r="AM530" s="21">
        <v>33</v>
      </c>
      <c r="AN530" s="21">
        <v>220</v>
      </c>
      <c r="AO530" s="21">
        <v>1</v>
      </c>
      <c r="AP530" s="21">
        <v>300</v>
      </c>
      <c r="AQ530" s="2" t="s">
        <v>623</v>
      </c>
    </row>
    <row r="531" spans="1:43" ht="15" x14ac:dyDescent="0.25">
      <c r="A531" s="35" t="s">
        <v>2329</v>
      </c>
      <c r="B531" s="39" t="s">
        <v>2330</v>
      </c>
      <c r="C531" s="37" t="s">
        <v>2331</v>
      </c>
      <c r="D531" s="1" t="str">
        <f t="shared" si="27"/>
        <v>Documents\GitHub\Ozon_upload\barcode\amazing pics\Термонаклейка Фламинго на воде.pdf</v>
      </c>
      <c r="E531" s="21" t="str">
        <f>CONCATENATE("C:\Users\",username!A136,"\Documents\GitHub\Ozon_upload\DTF_images\tatyana\A4\set6\",C531,".tif")</f>
        <v>C:\Users\maxim\Documents\GitHub\Ozon_upload\DTF_images\tatyana\A4\set6\img_16_vert.tif</v>
      </c>
      <c r="F531" s="21">
        <v>1</v>
      </c>
      <c r="G531" s="21">
        <v>1</v>
      </c>
      <c r="I531" s="38" t="s">
        <v>2332</v>
      </c>
      <c r="K531" s="21" t="s">
        <v>1075</v>
      </c>
      <c r="AM531" s="21">
        <v>33</v>
      </c>
      <c r="AN531" s="21">
        <v>220</v>
      </c>
      <c r="AO531" s="21">
        <v>1</v>
      </c>
      <c r="AP531" s="21">
        <v>300</v>
      </c>
      <c r="AQ531" s="2" t="s">
        <v>623</v>
      </c>
    </row>
    <row r="532" spans="1:43" ht="15" x14ac:dyDescent="0.25">
      <c r="A532" s="35" t="s">
        <v>2333</v>
      </c>
      <c r="B532" s="39" t="s">
        <v>2334</v>
      </c>
      <c r="C532" s="37" t="s">
        <v>2335</v>
      </c>
      <c r="D532" s="1" t="str">
        <f t="shared" si="27"/>
        <v>Documents\GitHub\Ozon_upload\barcode\amazing pics\Термонаклейка Девочка и кот у моря.pdf</v>
      </c>
      <c r="E532" s="21" t="str">
        <f>CONCATENATE("C:\Users\",username!A137,"\Documents\GitHub\Ozon_upload\DTF_images\tatyana\A4\set6\",C532,".tif")</f>
        <v>C:\Users\maxim\Documents\GitHub\Ozon_upload\DTF_images\tatyana\A4\set6\img_17_vert.tif</v>
      </c>
      <c r="F532" s="21">
        <v>1</v>
      </c>
      <c r="G532" s="21">
        <v>1</v>
      </c>
      <c r="I532" s="38" t="s">
        <v>2336</v>
      </c>
      <c r="K532" s="21" t="s">
        <v>1075</v>
      </c>
      <c r="AM532" s="21">
        <v>33</v>
      </c>
      <c r="AN532" s="21">
        <v>220</v>
      </c>
      <c r="AO532" s="21">
        <v>1</v>
      </c>
      <c r="AP532" s="21">
        <v>300</v>
      </c>
      <c r="AQ532" s="2" t="s">
        <v>623</v>
      </c>
    </row>
    <row r="533" spans="1:43" ht="15" x14ac:dyDescent="0.25">
      <c r="A533" s="35" t="s">
        <v>2337</v>
      </c>
      <c r="B533" s="39" t="s">
        <v>2338</v>
      </c>
      <c r="C533" s="37" t="s">
        <v>2339</v>
      </c>
      <c r="D533" s="1" t="str">
        <f t="shared" si="27"/>
        <v>Documents\GitHub\Ozon_upload\barcode\amazing pics\Термонаклейка Прикосновение рук Сотворения Адама.pdf</v>
      </c>
      <c r="E533" s="21" t="str">
        <f>CONCATENATE("C:\Users\",username!A138,"\Documents\GitHub\Ozon_upload\DTF_images\tatyana\A4\set6\",C533,".tif")</f>
        <v>C:\Users\maxim\Documents\GitHub\Ozon_upload\DTF_images\tatyana\A4\set6\img_18_vert.tif</v>
      </c>
      <c r="F533" s="21">
        <v>1</v>
      </c>
      <c r="G533" s="21">
        <v>1</v>
      </c>
      <c r="I533" s="38" t="s">
        <v>2340</v>
      </c>
      <c r="K533" s="21" t="s">
        <v>1075</v>
      </c>
      <c r="AM533" s="21">
        <v>33</v>
      </c>
      <c r="AN533" s="21">
        <v>220</v>
      </c>
      <c r="AO533" s="21">
        <v>1</v>
      </c>
      <c r="AP533" s="21">
        <v>300</v>
      </c>
      <c r="AQ533" s="2" t="s">
        <v>623</v>
      </c>
    </row>
    <row r="534" spans="1:43" ht="15" x14ac:dyDescent="0.25">
      <c r="A534" s="35" t="s">
        <v>2341</v>
      </c>
      <c r="B534" s="39" t="s">
        <v>2342</v>
      </c>
      <c r="C534" s="37" t="s">
        <v>2343</v>
      </c>
      <c r="D534" s="1" t="str">
        <f t="shared" si="27"/>
        <v>Documents\GitHub\Ozon_upload\barcode\amazing pics\Термонаклейка Гортензии акварель.pdf</v>
      </c>
      <c r="E534" s="21" t="str">
        <f>CONCATENATE("C:\Users\",username!A139,"\Documents\GitHub\Ozon_upload\DTF_images\tatyana\A4\set6\",C534,".tif")</f>
        <v>C:\Users\maxim\Documents\GitHub\Ozon_upload\DTF_images\tatyana\A4\set6\img_19_vert.tif</v>
      </c>
      <c r="F534" s="21">
        <v>1</v>
      </c>
      <c r="G534" s="21">
        <v>1</v>
      </c>
      <c r="I534" s="38" t="s">
        <v>2344</v>
      </c>
      <c r="K534" s="21" t="s">
        <v>1075</v>
      </c>
      <c r="AM534" s="21">
        <v>33</v>
      </c>
      <c r="AN534" s="21">
        <v>220</v>
      </c>
      <c r="AO534" s="21">
        <v>1</v>
      </c>
      <c r="AP534" s="21">
        <v>300</v>
      </c>
      <c r="AQ534" s="2" t="s">
        <v>623</v>
      </c>
    </row>
    <row r="535" spans="1:43" ht="15" x14ac:dyDescent="0.25">
      <c r="A535" s="35" t="s">
        <v>2345</v>
      </c>
      <c r="B535" s="39" t="s">
        <v>2346</v>
      </c>
      <c r="C535" s="37" t="s">
        <v>2347</v>
      </c>
      <c r="D535" s="1" t="str">
        <f t="shared" si="27"/>
        <v>Documents\GitHub\Ozon_upload\barcode\amazing pics\Термонаклейка Фламинго трое на воде право.pdf</v>
      </c>
      <c r="E535" s="21" t="str">
        <f>CONCATENATE("C:\Users\",username!A140,"\Documents\GitHub\Ozon_upload\DTF_images\tatyana\A4\set6\",C535,".tif")</f>
        <v>C:\Users\maxim\Documents\GitHub\Ozon_upload\DTF_images\tatyana\A4\set6\img_21_vert.tif</v>
      </c>
      <c r="F535" s="21">
        <v>1</v>
      </c>
      <c r="G535" s="21">
        <v>1</v>
      </c>
      <c r="I535" s="38" t="s">
        <v>2348</v>
      </c>
      <c r="K535" s="21" t="s">
        <v>1075</v>
      </c>
      <c r="AM535" s="21">
        <v>33</v>
      </c>
      <c r="AN535" s="21">
        <v>220</v>
      </c>
      <c r="AO535" s="21">
        <v>1</v>
      </c>
      <c r="AP535" s="21">
        <v>300</v>
      </c>
      <c r="AQ535" s="2" t="s">
        <v>623</v>
      </c>
    </row>
    <row r="536" spans="1:43" ht="16.5" customHeight="1" x14ac:dyDescent="0.2">
      <c r="A536" s="39" t="s">
        <v>2349</v>
      </c>
      <c r="B536" s="39" t="s">
        <v>2350</v>
      </c>
      <c r="C536" s="37" t="s">
        <v>2351</v>
      </c>
      <c r="D536" s="1" t="str">
        <f t="shared" si="27"/>
        <v>Documents\GitHub\Ozon_upload\barcode\amazing pics\Термонаклейка Чайка и морской пейзаж.pdf</v>
      </c>
      <c r="E536" s="21" t="str">
        <f>CONCATENATE("C:\Users\",username!A141,"\Documents\GitHub\Ozon_upload\DTF_images\tatyana\A4\set6\",C536,".tif")</f>
        <v>C:\Users\maxim\Documents\GitHub\Ozon_upload\DTF_images\tatyana\A4\set6\img_22_vert.tif</v>
      </c>
      <c r="F536" s="21">
        <v>1</v>
      </c>
      <c r="G536" s="21">
        <v>1</v>
      </c>
      <c r="I536" s="38" t="s">
        <v>2352</v>
      </c>
      <c r="K536" s="21" t="s">
        <v>1075</v>
      </c>
      <c r="AM536" s="21">
        <v>33</v>
      </c>
      <c r="AN536" s="21">
        <v>220</v>
      </c>
      <c r="AO536" s="21">
        <v>1</v>
      </c>
      <c r="AP536" s="21">
        <v>300</v>
      </c>
      <c r="AQ536" s="2" t="s">
        <v>623</v>
      </c>
    </row>
    <row r="537" spans="1:43" ht="15" x14ac:dyDescent="0.25">
      <c r="A537" s="35" t="s">
        <v>2353</v>
      </c>
      <c r="B537" s="39" t="s">
        <v>2354</v>
      </c>
      <c r="C537" s="37" t="s">
        <v>2355</v>
      </c>
      <c r="D537" s="1" t="str">
        <f t="shared" si="27"/>
        <v>Documents\GitHub\Ozon_upload\barcode\amazing pics\Термонаклейка Медведь, волк и матрёшка.pdf</v>
      </c>
      <c r="E537" s="21" t="str">
        <f>CONCATENATE("C:\Users\",username!A142,"\Documents\GitHub\Ozon_upload\DTF_images\tatyana\A4\set6\",C537,".tif")</f>
        <v>C:\Users\maxim\Documents\GitHub\Ozon_upload\DTF_images\tatyana\A4\set6\img_23_vert.tif</v>
      </c>
      <c r="F537" s="21">
        <v>1</v>
      </c>
      <c r="G537" s="21">
        <v>1</v>
      </c>
      <c r="I537" s="38" t="s">
        <v>2356</v>
      </c>
      <c r="K537" s="21" t="s">
        <v>1075</v>
      </c>
      <c r="AM537" s="21">
        <v>33</v>
      </c>
      <c r="AN537" s="21">
        <v>220</v>
      </c>
      <c r="AO537" s="21">
        <v>1</v>
      </c>
      <c r="AP537" s="21">
        <v>300</v>
      </c>
      <c r="AQ537" s="2" t="s">
        <v>623</v>
      </c>
    </row>
    <row r="538" spans="1:43" ht="15" x14ac:dyDescent="0.25">
      <c r="A538" s="35" t="s">
        <v>2357</v>
      </c>
      <c r="B538" s="39" t="s">
        <v>2358</v>
      </c>
      <c r="C538" s="37" t="s">
        <v>2359</v>
      </c>
      <c r="D538" s="1" t="str">
        <f t="shared" si="27"/>
        <v>Documents\GitHub\Ozon_upload\barcode\amazing pics\Термонаклейка Лимоны и морской пейзаж.pdf</v>
      </c>
      <c r="E538" s="21" t="str">
        <f>CONCATENATE("C:\Users\",username!A143,"\Documents\GitHub\Ozon_upload\DTF_images\tatyana\A4\set6\",C538,".tif")</f>
        <v>C:\Users\maxim\Documents\GitHub\Ozon_upload\DTF_images\tatyana\A4\set6\img_24_vert.tif</v>
      </c>
      <c r="F538" s="21">
        <v>1</v>
      </c>
      <c r="G538" s="21">
        <v>1</v>
      </c>
      <c r="I538" s="38" t="s">
        <v>2360</v>
      </c>
      <c r="K538" s="21" t="s">
        <v>1075</v>
      </c>
      <c r="AM538" s="21">
        <v>33</v>
      </c>
      <c r="AN538" s="21">
        <v>220</v>
      </c>
      <c r="AO538" s="21">
        <v>1</v>
      </c>
      <c r="AP538" s="21">
        <v>300</v>
      </c>
      <c r="AQ538" s="2" t="s">
        <v>623</v>
      </c>
    </row>
    <row r="539" spans="1:43" ht="15" x14ac:dyDescent="0.25">
      <c r="A539" s="35" t="s">
        <v>2361</v>
      </c>
      <c r="B539" s="39" t="s">
        <v>2362</v>
      </c>
      <c r="C539" s="37" t="s">
        <v>2363</v>
      </c>
      <c r="D539" s="1" t="str">
        <f t="shared" si="27"/>
        <v>Documents\GitHub\Ozon_upload\barcode\amazing pics\Термонаклейка Балерина в белом платье.pdf</v>
      </c>
      <c r="E539" s="21" t="str">
        <f>CONCATENATE("C:\Users\",username!A144,"\Documents\GitHub\Ozon_upload\DTF_images\tatyana\A4\set6\",C539,".tif")</f>
        <v>C:\Users\maxim\Documents\GitHub\Ozon_upload\DTF_images\tatyana\A4\set6\img_25_vert.tif</v>
      </c>
      <c r="F539" s="21">
        <v>1</v>
      </c>
      <c r="G539" s="21">
        <v>1</v>
      </c>
      <c r="I539" s="38" t="s">
        <v>2364</v>
      </c>
      <c r="K539" s="21" t="s">
        <v>1075</v>
      </c>
      <c r="AM539" s="21">
        <v>33</v>
      </c>
      <c r="AN539" s="21">
        <v>220</v>
      </c>
      <c r="AO539" s="21">
        <v>1</v>
      </c>
      <c r="AP539" s="21">
        <v>300</v>
      </c>
      <c r="AQ539" s="2" t="s">
        <v>623</v>
      </c>
    </row>
    <row r="540" spans="1:43" ht="15" x14ac:dyDescent="0.25">
      <c r="A540" s="35" t="s">
        <v>2365</v>
      </c>
      <c r="B540" s="39" t="s">
        <v>2366</v>
      </c>
      <c r="C540" s="37" t="s">
        <v>2367</v>
      </c>
      <c r="D540" s="1" t="str">
        <f t="shared" si="27"/>
        <v>Documents\GitHub\Ozon_upload\barcode\amazing pics\Термонаклейка Воздушный шар из пионов.pdf</v>
      </c>
      <c r="E540" s="21" t="str">
        <f>CONCATENATE("C:\Users\",username!A145,"\Documents\GitHub\Ozon_upload\DTF_images\tatyana\A4\set6\",C540,".tif")</f>
        <v>C:\Users\maxim\Documents\GitHub\Ozon_upload\DTF_images\tatyana\A4\set6\img_26_vert.tif</v>
      </c>
      <c r="F540" s="21">
        <v>1</v>
      </c>
      <c r="G540" s="21">
        <v>1</v>
      </c>
      <c r="I540" s="38" t="s">
        <v>2368</v>
      </c>
      <c r="K540" s="21" t="s">
        <v>1075</v>
      </c>
      <c r="AM540" s="21">
        <v>33</v>
      </c>
      <c r="AN540" s="21">
        <v>220</v>
      </c>
      <c r="AO540" s="21">
        <v>1</v>
      </c>
      <c r="AP540" s="21">
        <v>300</v>
      </c>
      <c r="AQ540" s="2" t="s">
        <v>623</v>
      </c>
    </row>
    <row r="541" spans="1:43" ht="18" customHeight="1" x14ac:dyDescent="0.25">
      <c r="A541" s="35" t="s">
        <v>2369</v>
      </c>
      <c r="B541" s="39" t="s">
        <v>2370</v>
      </c>
      <c r="C541" s="37" t="s">
        <v>2371</v>
      </c>
      <c r="D541" s="1" t="str">
        <f t="shared" si="27"/>
        <v>Documents\GitHub\Ozon_upload\barcode\amazing pics\Термонаклейка Медуза в очках и с змеями.pdf</v>
      </c>
      <c r="E541" s="21" t="str">
        <f>CONCATENATE("C:\Users\",username!A146,"\Documents\GitHub\Ozon_upload\DTF_images\tatyana\A4\set6\",C541,".tif")</f>
        <v>C:\Users\maxim\Documents\GitHub\Ozon_upload\DTF_images\tatyana\A4\set6\img_27_vert.tif</v>
      </c>
      <c r="F541" s="21">
        <v>1</v>
      </c>
      <c r="G541" s="21">
        <v>1</v>
      </c>
      <c r="I541" s="38" t="s">
        <v>2372</v>
      </c>
      <c r="K541" s="21" t="s">
        <v>1075</v>
      </c>
      <c r="AM541" s="21">
        <v>33</v>
      </c>
      <c r="AN541" s="21">
        <v>220</v>
      </c>
      <c r="AO541" s="21">
        <v>1</v>
      </c>
      <c r="AP541" s="21">
        <v>300</v>
      </c>
      <c r="AQ541" s="2" t="s">
        <v>623</v>
      </c>
    </row>
    <row r="542" spans="1:43" ht="15" x14ac:dyDescent="0.25">
      <c r="A542" s="35" t="s">
        <v>2373</v>
      </c>
      <c r="B542" s="39" t="s">
        <v>2374</v>
      </c>
      <c r="C542" s="37" t="s">
        <v>2375</v>
      </c>
      <c r="D542" s="1" t="str">
        <f t="shared" si="27"/>
        <v>Documents\GitHub\Ozon_upload\barcode\amazing pics\Термонаклейка Роза с бутоном акварель.pdf</v>
      </c>
      <c r="E542" s="21" t="str">
        <f>CONCATENATE("C:\Users\",username!A147,"\Documents\GitHub\Ozon_upload\DTF_images\tatyana\A4\set6\",C542,".tif")</f>
        <v>C:\Users\maxim\Documents\GitHub\Ozon_upload\DTF_images\tatyana\A4\set6\img_28_vert.tif</v>
      </c>
      <c r="F542" s="21">
        <v>1</v>
      </c>
      <c r="G542" s="21">
        <v>1</v>
      </c>
      <c r="I542" s="38" t="s">
        <v>2376</v>
      </c>
      <c r="K542" s="21" t="s">
        <v>1075</v>
      </c>
      <c r="AM542" s="21">
        <v>33</v>
      </c>
      <c r="AN542" s="21">
        <v>220</v>
      </c>
      <c r="AO542" s="21">
        <v>1</v>
      </c>
      <c r="AP542" s="21">
        <v>300</v>
      </c>
      <c r="AQ542" s="2" t="s">
        <v>623</v>
      </c>
    </row>
    <row r="543" spans="1:43" ht="15" x14ac:dyDescent="0.25">
      <c r="A543" s="35" t="s">
        <v>2377</v>
      </c>
      <c r="B543" s="39" t="s">
        <v>2378</v>
      </c>
      <c r="C543" s="37" t="s">
        <v>2379</v>
      </c>
      <c r="D543" s="1" t="str">
        <f t="shared" si="27"/>
        <v>Documents\GitHub\Ozon_upload\barcode\amazing pics\Термонаклейка Рука жест рок металл.pdf</v>
      </c>
      <c r="E543" s="21" t="str">
        <f>CONCATENATE("C:\Users\",username!A148,"\Documents\GitHub\Ozon_upload\DTF_images\tatyana\A4\set6\",C543,".tif")</f>
        <v>C:\Users\maxim\Documents\GitHub\Ozon_upload\DTF_images\tatyana\A4\set6\img_29_vert.tif</v>
      </c>
      <c r="F543" s="21">
        <v>1</v>
      </c>
      <c r="G543" s="21">
        <v>1</v>
      </c>
      <c r="I543" s="38" t="s">
        <v>2380</v>
      </c>
      <c r="K543" s="21" t="s">
        <v>1075</v>
      </c>
      <c r="AM543" s="21">
        <v>33</v>
      </c>
      <c r="AN543" s="21">
        <v>220</v>
      </c>
      <c r="AO543" s="21">
        <v>1</v>
      </c>
      <c r="AP543" s="21">
        <v>300</v>
      </c>
      <c r="AQ543" s="2" t="s">
        <v>623</v>
      </c>
    </row>
    <row r="544" spans="1:43" ht="15" x14ac:dyDescent="0.25">
      <c r="A544" s="35" t="s">
        <v>2381</v>
      </c>
      <c r="B544" s="39" t="s">
        <v>2382</v>
      </c>
      <c r="C544" s="37" t="s">
        <v>2383</v>
      </c>
      <c r="D544" s="1" t="str">
        <f t="shared" si="27"/>
        <v>Documents\GitHub\Ozon_upload\barcode\amazing pics\Термонаклейка Девушка в золотых трещинах.pdf</v>
      </c>
      <c r="E544" s="21" t="str">
        <f>CONCATENATE("C:\Users\",username!A149,"\Documents\GitHub\Ozon_upload\DTF_images\tatyana\A4\set6\",C544,".tif")</f>
        <v>C:\Users\maxim\Documents\GitHub\Ozon_upload\DTF_images\tatyana\A4\set6\img_30_vert.tif</v>
      </c>
      <c r="F544" s="21">
        <v>1</v>
      </c>
      <c r="G544" s="21">
        <v>1</v>
      </c>
      <c r="I544" s="38" t="s">
        <v>2384</v>
      </c>
      <c r="K544" s="21" t="s">
        <v>1075</v>
      </c>
      <c r="AM544" s="21">
        <v>33</v>
      </c>
      <c r="AN544" s="21">
        <v>220</v>
      </c>
      <c r="AO544" s="21">
        <v>1</v>
      </c>
      <c r="AP544" s="21">
        <v>300</v>
      </c>
      <c r="AQ544" s="2" t="s">
        <v>623</v>
      </c>
    </row>
    <row r="545" spans="1:48" ht="15" x14ac:dyDescent="0.25">
      <c r="A545" s="35" t="s">
        <v>2385</v>
      </c>
      <c r="B545" s="39" t="s">
        <v>2386</v>
      </c>
      <c r="C545" s="37" t="s">
        <v>2387</v>
      </c>
      <c r="D545" s="1" t="str">
        <f t="shared" si="27"/>
        <v>Documents\GitHub\Ozon_upload\barcode\amazing pics\Термонаклейка Не буди лихо пока тихо.pdf</v>
      </c>
      <c r="E545" s="21" t="str">
        <f>CONCATENATE("C:\Users\",username!A150,"\Documents\GitHub\Ozon_upload\DTF_images\tatyana\A4\set6\",C545,".tif")</f>
        <v>C:\Users\maxim\Documents\GitHub\Ozon_upload\DTF_images\tatyana\A4\set6\img_31_vert.tif</v>
      </c>
      <c r="F545" s="21">
        <v>1</v>
      </c>
      <c r="G545" s="21">
        <v>1</v>
      </c>
      <c r="I545" s="38" t="s">
        <v>2388</v>
      </c>
      <c r="K545" s="21" t="s">
        <v>1075</v>
      </c>
      <c r="AM545" s="21">
        <v>33</v>
      </c>
      <c r="AN545" s="21">
        <v>220</v>
      </c>
      <c r="AO545" s="21">
        <v>1</v>
      </c>
      <c r="AP545" s="21">
        <v>300</v>
      </c>
      <c r="AQ545" s="2" t="s">
        <v>623</v>
      </c>
    </row>
    <row r="546" spans="1:48" ht="15" x14ac:dyDescent="0.25">
      <c r="A546" s="35" t="s">
        <v>2389</v>
      </c>
      <c r="B546" s="39" t="s">
        <v>2390</v>
      </c>
      <c r="C546" s="37" t="s">
        <v>2391</v>
      </c>
      <c r="D546" s="1" t="str">
        <f t="shared" si="27"/>
        <v>Documents\GitHub\Ozon_upload\barcode\amazing pics\Термонаклейка Треснувшая античная скульптура.pdf</v>
      </c>
      <c r="E546" s="21" t="str">
        <f>CONCATENATE("C:\Users\",username!A151,"\Documents\GitHub\Ozon_upload\DTF_images\tatyana\A4\set6\",C546,".tif")</f>
        <v>C:\Users\maxim\Documents\GitHub\Ozon_upload\DTF_images\tatyana\A4\set6\img_32_vert.tif</v>
      </c>
      <c r="F546" s="21">
        <v>1</v>
      </c>
      <c r="G546" s="21">
        <v>1</v>
      </c>
      <c r="I546" s="38" t="s">
        <v>2392</v>
      </c>
      <c r="K546" s="21" t="s">
        <v>1075</v>
      </c>
      <c r="AM546" s="21">
        <v>33</v>
      </c>
      <c r="AN546" s="21">
        <v>220</v>
      </c>
      <c r="AO546" s="21">
        <v>1</v>
      </c>
      <c r="AP546" s="21">
        <v>300</v>
      </c>
      <c r="AQ546" s="2" t="s">
        <v>623</v>
      </c>
    </row>
    <row r="547" spans="1:48" ht="15" x14ac:dyDescent="0.25">
      <c r="A547" s="35" t="s">
        <v>2393</v>
      </c>
      <c r="B547" s="39" t="s">
        <v>2394</v>
      </c>
      <c r="C547" s="37" t="s">
        <v>2395</v>
      </c>
      <c r="D547" s="1" t="str">
        <f t="shared" si="27"/>
        <v>Documents\GitHub\Ozon_upload\barcode\amazing pics\Термонаклейка Яркий цветок акварель.pdf</v>
      </c>
      <c r="E547" s="21" t="str">
        <f>CONCATENATE("C:\Users\",username!A152,"\Documents\GitHub\Ozon_upload\DTF_images\tatyana\A4\set6\",C547,".tif")</f>
        <v>C:\Users\maxim\Documents\GitHub\Ozon_upload\DTF_images\tatyana\A4\set6\img_33_vert.tif</v>
      </c>
      <c r="F547" s="21">
        <v>1</v>
      </c>
      <c r="G547" s="21">
        <v>1</v>
      </c>
      <c r="I547" s="38" t="s">
        <v>2396</v>
      </c>
      <c r="K547" s="21" t="s">
        <v>1075</v>
      </c>
      <c r="AM547" s="21">
        <v>33</v>
      </c>
      <c r="AN547" s="21">
        <v>220</v>
      </c>
      <c r="AO547" s="21">
        <v>1</v>
      </c>
      <c r="AP547" s="21">
        <v>300</v>
      </c>
      <c r="AQ547" s="2" t="s">
        <v>623</v>
      </c>
    </row>
    <row r="548" spans="1:48" ht="15" x14ac:dyDescent="0.25">
      <c r="A548" s="35" t="s">
        <v>2397</v>
      </c>
      <c r="B548" s="39" t="s">
        <v>2398</v>
      </c>
      <c r="C548" s="37" t="s">
        <v>2399</v>
      </c>
      <c r="D548" s="1" t="str">
        <f t="shared" si="27"/>
        <v>Documents\GitHub\Ozon_upload\barcode\amazing pics\Термонаклейка Три фламинго у воды лево.pdf</v>
      </c>
      <c r="E548" s="21" t="str">
        <f>CONCATENATE("C:\Users\",username!A153,"\Documents\GitHub\Ozon_upload\DTF_images\tatyana\A4\set6\",C548,".tif")</f>
        <v>C:\Users\maxim\Documents\GitHub\Ozon_upload\DTF_images\tatyana\A4\set6\img_34_vert.tif</v>
      </c>
      <c r="F548" s="21">
        <v>1</v>
      </c>
      <c r="G548" s="21">
        <v>1</v>
      </c>
      <c r="I548" s="38" t="s">
        <v>2400</v>
      </c>
      <c r="K548" s="21" t="s">
        <v>1075</v>
      </c>
      <c r="AM548" s="21">
        <v>33</v>
      </c>
      <c r="AN548" s="21">
        <v>220</v>
      </c>
      <c r="AO548" s="21">
        <v>1</v>
      </c>
      <c r="AP548" s="21">
        <v>300</v>
      </c>
      <c r="AQ548" s="2" t="s">
        <v>623</v>
      </c>
    </row>
    <row r="549" spans="1:48" ht="15" x14ac:dyDescent="0.25">
      <c r="A549" s="35" t="s">
        <v>2401</v>
      </c>
      <c r="B549" s="39" t="s">
        <v>2402</v>
      </c>
      <c r="C549" s="37" t="s">
        <v>2403</v>
      </c>
      <c r="D549" s="1" t="str">
        <f t="shared" si="27"/>
        <v>Documents\GitHub\Ozon_upload\barcode\amazing pics\Термонаклейка Египетская кошка в золоте.pdf</v>
      </c>
      <c r="E549" s="21" t="str">
        <f>CONCATENATE("C:\Users\",username!A154,"\Documents\GitHub\Ozon_upload\DTF_images\tatyana\A4\set6\",C549,".tif")</f>
        <v>C:\Users\maxim\Documents\GitHub\Ozon_upload\DTF_images\tatyana\A4\set6\img_35_vert.tif</v>
      </c>
      <c r="F549" s="21">
        <v>1</v>
      </c>
      <c r="G549" s="21">
        <v>1</v>
      </c>
      <c r="I549" s="38" t="s">
        <v>2404</v>
      </c>
      <c r="K549" s="21" t="s">
        <v>1075</v>
      </c>
      <c r="AM549" s="21">
        <v>33</v>
      </c>
      <c r="AN549" s="21">
        <v>220</v>
      </c>
      <c r="AO549" s="21">
        <v>1</v>
      </c>
      <c r="AP549" s="21">
        <v>300</v>
      </c>
      <c r="AQ549" s="2" t="s">
        <v>623</v>
      </c>
    </row>
    <row r="550" spans="1:48" ht="15" x14ac:dyDescent="0.25">
      <c r="A550" s="35" t="s">
        <v>2405</v>
      </c>
      <c r="B550" s="39" t="s">
        <v>2406</v>
      </c>
      <c r="C550" s="37" t="s">
        <v>2407</v>
      </c>
      <c r="D550" s="1" t="str">
        <f t="shared" si="27"/>
        <v>Documents\GitHub\Ozon_upload\barcode\amazing pics\Термонаклейка Чёрная кошка и луна.pdf</v>
      </c>
      <c r="E550" s="21" t="str">
        <f>CONCATENATE("C:\Users\",username!A155,"\Documents\GitHub\Ozon_upload\DTF_images\tatyana\A4\set6\",C550,".tif")</f>
        <v>C:\Users\maxim\Documents\GitHub\Ozon_upload\DTF_images\tatyana\A4\set6\img_36_vert.tif</v>
      </c>
      <c r="F550" s="21">
        <v>1</v>
      </c>
      <c r="G550" s="21">
        <v>1</v>
      </c>
      <c r="I550" s="38" t="s">
        <v>2408</v>
      </c>
      <c r="K550" s="21" t="s">
        <v>1075</v>
      </c>
      <c r="AM550" s="21">
        <v>33</v>
      </c>
      <c r="AN550" s="21">
        <v>220</v>
      </c>
      <c r="AO550" s="21">
        <v>1</v>
      </c>
      <c r="AP550" s="21">
        <v>300</v>
      </c>
      <c r="AQ550" s="2" t="s">
        <v>623</v>
      </c>
    </row>
    <row r="551" spans="1:48" ht="15" x14ac:dyDescent="0.25">
      <c r="A551" s="35" t="s">
        <v>2409</v>
      </c>
      <c r="B551" s="39" t="s">
        <v>2410</v>
      </c>
      <c r="C551" s="37" t="s">
        <v>2411</v>
      </c>
      <c r="D551" s="1" t="str">
        <f t="shared" si="27"/>
        <v>Documents\GitHub\Ozon_upload\barcode\amazing pics\Термонаклейка Итальянская набережная.pdf</v>
      </c>
      <c r="E551" s="21" t="str">
        <f>CONCATENATE("C:\Users\",username!A156,"\Documents\GitHub\Ozon_upload\DTF_images\tatyana\A4\set6\",C551,".tif")</f>
        <v>C:\Users\maxim\Documents\GitHub\Ozon_upload\DTF_images\tatyana\A4\set6\img_37_vert.tif</v>
      </c>
      <c r="F551" s="21">
        <v>1</v>
      </c>
      <c r="G551" s="21">
        <v>1</v>
      </c>
      <c r="I551" s="38" t="s">
        <v>2412</v>
      </c>
      <c r="K551" s="21" t="s">
        <v>1075</v>
      </c>
      <c r="AM551" s="21">
        <v>33</v>
      </c>
      <c r="AN551" s="21">
        <v>220</v>
      </c>
      <c r="AO551" s="21">
        <v>1</v>
      </c>
      <c r="AP551" s="21">
        <v>300</v>
      </c>
      <c r="AQ551" s="2" t="s">
        <v>623</v>
      </c>
    </row>
    <row r="552" spans="1:48" ht="15" x14ac:dyDescent="0.25">
      <c r="A552" s="41" t="s">
        <v>2413</v>
      </c>
      <c r="B552" s="42" t="s">
        <v>2414</v>
      </c>
      <c r="C552" s="43" t="s">
        <v>2415</v>
      </c>
      <c r="D552" s="1" t="str">
        <f t="shared" si="27"/>
        <v>Documents\GitHub\Ozon_upload\barcode\amazing pics\Термонаклейка Уточка с полотенцем.pdf</v>
      </c>
      <c r="E552" s="21" t="str">
        <f>CONCATENATE("C:\Users\",username!A157,"\Documents\GitHub\Ozon_upload\DTF_images\tatyana\A4\set6\",C552,".tif")</f>
        <v>C:\Users\maxim\Documents\GitHub\Ozon_upload\DTF_images\tatyana\A4\set6\img_38_vert.tif</v>
      </c>
      <c r="F552" s="21">
        <v>1</v>
      </c>
      <c r="G552" s="21">
        <v>1</v>
      </c>
      <c r="I552" s="38" t="s">
        <v>2416</v>
      </c>
      <c r="K552" s="21" t="s">
        <v>1075</v>
      </c>
      <c r="AM552" s="21">
        <v>33</v>
      </c>
      <c r="AN552" s="21">
        <v>220</v>
      </c>
      <c r="AO552" s="21">
        <v>1</v>
      </c>
      <c r="AP552" s="21">
        <v>300</v>
      </c>
      <c r="AQ552" s="2" t="s">
        <v>623</v>
      </c>
    </row>
    <row r="553" spans="1:48" x14ac:dyDescent="0.2">
      <c r="A553" s="44" t="s">
        <v>2417</v>
      </c>
      <c r="B553" s="11" t="s">
        <v>2418</v>
      </c>
      <c r="C553" s="44" t="s">
        <v>2419</v>
      </c>
      <c r="D553" s="11" t="str">
        <f t="shared" si="27"/>
        <v>Documents\GitHub\Ozon_upload\barcode\amazing pics\Термонаклейка Шредер и Кренг из Черепашек-ниндзя.pdf</v>
      </c>
      <c r="E553" s="11" t="str">
        <f>CONCATENATE("C:\Users\",username!A158,"\Documents\GitHub\Ozon_upload\DTF_images\tatyana\A4\set7\",C553,".tif")</f>
        <v>C:\Users\maxim\Documents\GitHub\Ozon_upload\DTF_images\tatyana\A4\set7\img_39_vert.tif</v>
      </c>
      <c r="F553" s="44">
        <v>1</v>
      </c>
      <c r="G553" s="44">
        <v>1</v>
      </c>
      <c r="H553" s="44"/>
      <c r="I553" s="45" t="s">
        <v>2420</v>
      </c>
      <c r="J553" s="44"/>
      <c r="K553" s="44" t="s">
        <v>1075</v>
      </c>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v>33</v>
      </c>
      <c r="AN553" s="46">
        <v>220</v>
      </c>
      <c r="AO553" s="46">
        <v>1</v>
      </c>
      <c r="AP553" s="46">
        <v>300</v>
      </c>
      <c r="AQ553" s="2" t="s">
        <v>623</v>
      </c>
      <c r="AR553" s="46"/>
      <c r="AS553" s="46"/>
      <c r="AT553" s="46"/>
      <c r="AU553" s="46"/>
      <c r="AV553" s="46"/>
    </row>
    <row r="554" spans="1:48" x14ac:dyDescent="0.2">
      <c r="A554" s="44" t="s">
        <v>2421</v>
      </c>
      <c r="B554" s="11" t="s">
        <v>2422</v>
      </c>
      <c r="C554" s="44" t="s">
        <v>2423</v>
      </c>
      <c r="D554" s="11" t="str">
        <f t="shared" si="27"/>
        <v>Documents\GitHub\Ozon_upload\barcode\amazing pics\Термонаклейка Скелет череп байкер огонь.pdf</v>
      </c>
      <c r="E554" s="11" t="str">
        <f>CONCATENATE("C:\Users\",username!A159,"\Documents\GitHub\Ozon_upload\DTF_images\tatyana\A4\set7\",C554,".tif")</f>
        <v>C:\Users\maxim\Documents\GitHub\Ozon_upload\DTF_images\tatyana\A4\set7\img_40_vert.tif</v>
      </c>
      <c r="F554" s="44">
        <v>1</v>
      </c>
      <c r="G554" s="44">
        <v>1</v>
      </c>
      <c r="H554" s="44"/>
      <c r="I554" s="45" t="s">
        <v>2424</v>
      </c>
      <c r="J554" s="44"/>
      <c r="K554" s="44" t="s">
        <v>1075</v>
      </c>
      <c r="L554" s="11"/>
      <c r="AM554" s="11">
        <v>33</v>
      </c>
      <c r="AN554" s="11">
        <v>220</v>
      </c>
      <c r="AO554" s="11">
        <v>1</v>
      </c>
      <c r="AP554" s="11">
        <v>300</v>
      </c>
      <c r="AQ554" s="14" t="s">
        <v>623</v>
      </c>
    </row>
    <row r="555" spans="1:48" x14ac:dyDescent="0.2">
      <c r="A555" s="44" t="s">
        <v>2425</v>
      </c>
      <c r="B555" s="11" t="s">
        <v>2426</v>
      </c>
      <c r="C555" s="44" t="s">
        <v>2427</v>
      </c>
      <c r="D555" s="11" t="str">
        <f t="shared" si="27"/>
        <v>Documents\GitHub\Ozon_upload\barcode\amazing pics\Термонаклейка Кибер-девушка в стиле аниме.pdf</v>
      </c>
      <c r="E555" s="11" t="str">
        <f>CONCATENATE("C:\Users\",username!A160,"\Documents\GitHub\Ozon_upload\DTF_images\tatyana\A4\set7\",C555,".tif")</f>
        <v>C:\Users\maxim\Documents\GitHub\Ozon_upload\DTF_images\tatyana\A4\set7\img_41_vert.tif</v>
      </c>
      <c r="F555" s="44">
        <v>1</v>
      </c>
      <c r="G555" s="44">
        <v>1</v>
      </c>
      <c r="H555" s="44"/>
      <c r="I555" s="45" t="s">
        <v>2428</v>
      </c>
      <c r="J555" s="44"/>
      <c r="K555" s="44" t="s">
        <v>1075</v>
      </c>
      <c r="L555" s="11"/>
      <c r="AM555" s="11">
        <v>33</v>
      </c>
      <c r="AN555" s="11">
        <v>220</v>
      </c>
      <c r="AO555" s="11">
        <v>1</v>
      </c>
      <c r="AP555" s="11">
        <v>300</v>
      </c>
      <c r="AQ555" s="14" t="s">
        <v>623</v>
      </c>
    </row>
    <row r="556" spans="1:48" x14ac:dyDescent="0.2">
      <c r="A556" s="44" t="s">
        <v>2429</v>
      </c>
      <c r="B556" s="11" t="s">
        <v>2430</v>
      </c>
      <c r="C556" s="44" t="s">
        <v>2431</v>
      </c>
      <c r="D556" s="11" t="str">
        <f t="shared" si="27"/>
        <v>Documents\GitHub\Ozon_upload\barcode\amazing pics\Термонаклейка Белый волк с красным солнцем.pdf</v>
      </c>
      <c r="E556" s="11" t="str">
        <f>CONCATENATE("C:\Users\",username!A161,"\Documents\GitHub\Ozon_upload\DTF_images\tatyana\A4\set7\",C556,".tif")</f>
        <v>C:\Users\maxim\Documents\GitHub\Ozon_upload\DTF_images\tatyana\A4\set7\img_42_vert.tif</v>
      </c>
      <c r="F556" s="44">
        <v>1</v>
      </c>
      <c r="G556" s="44">
        <v>1</v>
      </c>
      <c r="H556" s="44"/>
      <c r="I556" s="45" t="s">
        <v>2432</v>
      </c>
      <c r="J556" s="44"/>
      <c r="K556" s="44" t="s">
        <v>1075</v>
      </c>
      <c r="L556" s="11"/>
      <c r="AM556" s="11">
        <v>33</v>
      </c>
      <c r="AN556" s="11">
        <v>220</v>
      </c>
      <c r="AO556" s="11">
        <v>1</v>
      </c>
      <c r="AP556" s="11">
        <v>300</v>
      </c>
      <c r="AQ556" s="14" t="s">
        <v>623</v>
      </c>
    </row>
    <row r="557" spans="1:48" x14ac:dyDescent="0.2">
      <c r="A557" s="44" t="s">
        <v>2433</v>
      </c>
      <c r="B557" s="11" t="s">
        <v>2434</v>
      </c>
      <c r="C557" s="44" t="s">
        <v>2435</v>
      </c>
      <c r="D557" s="11" t="str">
        <f t="shared" si="27"/>
        <v>Documents\GitHub\Ozon_upload\barcode\amazing pics\Термонаклейка Кратос God of War с цитатой.pdf</v>
      </c>
      <c r="E557" s="11" t="str">
        <f>CONCATENATE("C:\Users\",username!A162,"\Documents\GitHub\Ozon_upload\DTF_images\tatyana\A4\set7\",C557,".tif")</f>
        <v>C:\Users\maxim\Documents\GitHub\Ozon_upload\DTF_images\tatyana\A4\set7\img_43_vert.tif</v>
      </c>
      <c r="F557" s="44">
        <v>1</v>
      </c>
      <c r="G557" s="44">
        <v>1</v>
      </c>
      <c r="H557" s="44"/>
      <c r="I557" s="45" t="s">
        <v>2436</v>
      </c>
      <c r="J557" s="44"/>
      <c r="K557" s="44" t="s">
        <v>1075</v>
      </c>
      <c r="L557" s="11"/>
      <c r="AM557" s="11">
        <v>33</v>
      </c>
      <c r="AN557" s="11">
        <v>220</v>
      </c>
      <c r="AO557" s="11">
        <v>1</v>
      </c>
      <c r="AP557" s="11">
        <v>300</v>
      </c>
      <c r="AQ557" s="14" t="s">
        <v>623</v>
      </c>
    </row>
    <row r="558" spans="1:48" x14ac:dyDescent="0.2">
      <c r="A558" s="44" t="s">
        <v>2437</v>
      </c>
      <c r="B558" s="11" t="s">
        <v>2438</v>
      </c>
      <c r="C558" s="44" t="s">
        <v>2439</v>
      </c>
      <c r="D558" s="11" t="str">
        <f t="shared" si="27"/>
        <v>Documents\GitHub\Ozon_upload\barcode\amazing pics\Термонаклейка Яркий аниме белый дракон с огнём.pdf</v>
      </c>
      <c r="E558" s="11" t="str">
        <f>CONCATENATE("C:\Users\",username!A163,"\Documents\GitHub\Ozon_upload\DTF_images\tatyana\A4\set7\",C558,".tif")</f>
        <v>C:\Users\maxim\Documents\GitHub\Ozon_upload\DTF_images\tatyana\A4\set7\img_44_vert.tif</v>
      </c>
      <c r="F558" s="44">
        <v>1</v>
      </c>
      <c r="G558" s="44">
        <v>1</v>
      </c>
      <c r="H558" s="44"/>
      <c r="I558" s="45" t="s">
        <v>2440</v>
      </c>
      <c r="J558" s="44"/>
      <c r="K558" s="44" t="s">
        <v>1075</v>
      </c>
      <c r="L558" s="11"/>
      <c r="AM558" s="11">
        <v>33</v>
      </c>
      <c r="AN558" s="11">
        <v>220</v>
      </c>
      <c r="AO558" s="11">
        <v>1</v>
      </c>
      <c r="AP558" s="11">
        <v>300</v>
      </c>
      <c r="AQ558" s="14" t="s">
        <v>623</v>
      </c>
    </row>
    <row r="559" spans="1:48" x14ac:dyDescent="0.2">
      <c r="A559" s="44" t="s">
        <v>2441</v>
      </c>
      <c r="B559" s="11" t="s">
        <v>2442</v>
      </c>
      <c r="C559" s="44" t="s">
        <v>2443</v>
      </c>
      <c r="D559" s="11" t="str">
        <f t="shared" si="27"/>
        <v>Documents\GitHub\Ozon_upload\barcode\amazing pics\Термонаклейка Зомби-дядя Сэм с надписью CONSUME.pdf</v>
      </c>
      <c r="E559" s="11" t="str">
        <f>CONCATENATE("C:\Users\",username!A164,"\Documents\GitHub\Ozon_upload\DTF_images\tatyana\A4\set7\",C559,".tif")</f>
        <v>C:\Users\maxim\Documents\GitHub\Ozon_upload\DTF_images\tatyana\A4\set7\img_45_vert.tif</v>
      </c>
      <c r="F559" s="44">
        <v>1</v>
      </c>
      <c r="G559" s="44">
        <v>1</v>
      </c>
      <c r="H559" s="44"/>
      <c r="I559" s="45" t="s">
        <v>2444</v>
      </c>
      <c r="J559" s="44"/>
      <c r="K559" s="44" t="s">
        <v>1075</v>
      </c>
      <c r="L559" s="11"/>
      <c r="AM559" s="11">
        <v>33</v>
      </c>
      <c r="AN559" s="11">
        <v>220</v>
      </c>
      <c r="AO559" s="11">
        <v>1</v>
      </c>
      <c r="AP559" s="11">
        <v>300</v>
      </c>
      <c r="AQ559" s="14" t="s">
        <v>623</v>
      </c>
    </row>
    <row r="560" spans="1:48" ht="15" x14ac:dyDescent="0.25">
      <c r="A560" s="47" t="s">
        <v>2445</v>
      </c>
      <c r="B560" s="11" t="s">
        <v>2446</v>
      </c>
      <c r="C560" s="44" t="s">
        <v>2447</v>
      </c>
      <c r="D560" s="11" t="str">
        <f t="shared" si="27"/>
        <v>Documents\GitHub\Ozon_upload\barcode\amazing pics\Термонаклейка Яркий тигр с пастью на фоне луны.pdf</v>
      </c>
      <c r="E560" s="11" t="str">
        <f>CONCATENATE("C:\Users\",username!A165,"\Documents\GitHub\Ozon_upload\DTF_images\tatyana\A4\set7\",C560,".tif")</f>
        <v>C:\Users\maxim\Documents\GitHub\Ozon_upload\DTF_images\tatyana\A4\set7\img_46_vert.tif</v>
      </c>
      <c r="F560" s="44">
        <v>1</v>
      </c>
      <c r="G560" s="44">
        <v>1</v>
      </c>
      <c r="H560" s="44"/>
      <c r="I560" s="45" t="s">
        <v>2448</v>
      </c>
      <c r="J560" s="44"/>
      <c r="K560" s="44" t="s">
        <v>1075</v>
      </c>
      <c r="L560" s="11"/>
      <c r="AM560" s="11">
        <v>33</v>
      </c>
      <c r="AN560" s="11">
        <v>220</v>
      </c>
      <c r="AO560" s="11">
        <v>1</v>
      </c>
      <c r="AP560" s="11">
        <v>300</v>
      </c>
      <c r="AQ560" s="14" t="s">
        <v>623</v>
      </c>
    </row>
    <row r="561" spans="1:43" x14ac:dyDescent="0.2">
      <c r="A561" s="11" t="s">
        <v>2449</v>
      </c>
      <c r="B561" s="11" t="s">
        <v>2450</v>
      </c>
      <c r="C561" s="44" t="s">
        <v>2451</v>
      </c>
      <c r="D561" s="11" t="str">
        <f t="shared" si="27"/>
        <v>Documents\GitHub\Ozon_upload\barcode\amazing pics\Термонаклейка Чёрный кот Catzilla Годзилла ловит.pdf</v>
      </c>
      <c r="E561" s="11" t="str">
        <f>CONCATENATE("C:\Users\",username!A166,"\Documents\GitHub\Ozon_upload\DTF_images\tatyana\A4\set7\",C561,".tif")</f>
        <v>C:\Users\maxim\Documents\GitHub\Ozon_upload\DTF_images\tatyana\A4\set7\img_47_vert.tif</v>
      </c>
      <c r="F561" s="44">
        <v>1</v>
      </c>
      <c r="G561" s="44">
        <v>1</v>
      </c>
      <c r="H561" s="44"/>
      <c r="I561" s="45" t="s">
        <v>2452</v>
      </c>
      <c r="J561" s="44"/>
      <c r="K561" s="44" t="s">
        <v>1075</v>
      </c>
      <c r="L561" s="11"/>
      <c r="AM561" s="11">
        <v>33</v>
      </c>
      <c r="AN561" s="11">
        <v>220</v>
      </c>
      <c r="AO561" s="11">
        <v>1</v>
      </c>
      <c r="AP561" s="11">
        <v>300</v>
      </c>
      <c r="AQ561" s="14" t="s">
        <v>623</v>
      </c>
    </row>
    <row r="562" spans="1:43" ht="15" x14ac:dyDescent="0.25">
      <c r="A562" s="47" t="s">
        <v>2453</v>
      </c>
      <c r="B562" s="48" t="s">
        <v>2454</v>
      </c>
      <c r="C562" s="44" t="s">
        <v>2455</v>
      </c>
      <c r="D562" s="11" t="str">
        <f t="shared" si="27"/>
        <v>Documents\GitHub\Ozon_upload\barcode\amazing pics\Термонаклейка Лев в жёлтой куртке.pdf</v>
      </c>
      <c r="E562" s="11" t="str">
        <f>CONCATENATE("C:\Users\",username!A167,"\Documents\GitHub\Ozon_upload\DTF_images\tatyana\A4\set7\",C562,".tif")</f>
        <v>C:\Users\maxim\Documents\GitHub\Ozon_upload\DTF_images\tatyana\A4\set7\img_48_vert.tif</v>
      </c>
      <c r="F562" s="44">
        <v>1</v>
      </c>
      <c r="G562" s="44">
        <v>1</v>
      </c>
      <c r="H562" s="44"/>
      <c r="I562" s="45" t="s">
        <v>2456</v>
      </c>
      <c r="J562" s="44"/>
      <c r="K562" s="44" t="s">
        <v>1075</v>
      </c>
      <c r="L562" s="11"/>
      <c r="AM562" s="11">
        <v>33</v>
      </c>
      <c r="AN562" s="11">
        <v>220</v>
      </c>
      <c r="AO562" s="11">
        <v>1</v>
      </c>
      <c r="AP562" s="11">
        <v>300</v>
      </c>
      <c r="AQ562" s="14" t="s">
        <v>623</v>
      </c>
    </row>
    <row r="563" spans="1:43" ht="15" x14ac:dyDescent="0.25">
      <c r="A563" s="47" t="s">
        <v>2457</v>
      </c>
      <c r="B563" s="11" t="s">
        <v>2458</v>
      </c>
      <c r="C563" s="44" t="s">
        <v>2459</v>
      </c>
      <c r="D563" s="11" t="str">
        <f t="shared" si="27"/>
        <v>Documents\GitHub\Ozon_upload\barcode\amazing pics\Термонаклейка Девушка с автоматом аниме.pdf</v>
      </c>
      <c r="E563" s="11" t="str">
        <f>CONCATENATE("C:\Users\",username!A168,"\Documents\GitHub\Ozon_upload\DTF_images\tatyana\A4\set7\",C563,".tif")</f>
        <v>C:\Users\maxim\Documents\GitHub\Ozon_upload\DTF_images\tatyana\A4\set7\img_49_vert.tif</v>
      </c>
      <c r="F563" s="44">
        <v>1</v>
      </c>
      <c r="G563" s="44">
        <v>1</v>
      </c>
      <c r="H563" s="44"/>
      <c r="I563" s="45" t="s">
        <v>2460</v>
      </c>
      <c r="J563" s="44"/>
      <c r="K563" s="44" t="s">
        <v>1075</v>
      </c>
      <c r="L563" s="11"/>
      <c r="AM563" s="11">
        <v>33</v>
      </c>
      <c r="AN563" s="11">
        <v>220</v>
      </c>
      <c r="AO563" s="11">
        <v>1</v>
      </c>
      <c r="AP563" s="11">
        <v>300</v>
      </c>
      <c r="AQ563" s="14" t="s">
        <v>623</v>
      </c>
    </row>
    <row r="564" spans="1:43" ht="15" x14ac:dyDescent="0.25">
      <c r="A564" s="47" t="s">
        <v>2461</v>
      </c>
      <c r="B564" s="11" t="s">
        <v>2462</v>
      </c>
      <c r="C564" s="44" t="s">
        <v>2463</v>
      </c>
      <c r="D564" s="11" t="str">
        <f t="shared" si="27"/>
        <v>Documents\GitHub\Ozon_upload\barcode\amazing pics\Термонаклейка Акира и мотоцикл Аниме.pdf</v>
      </c>
      <c r="E564" s="11" t="str">
        <f>CONCATENATE("C:\Users\",username!A169,"\Documents\GitHub\Ozon_upload\DTF_images\tatyana\A4\set7\",C564,".tif")</f>
        <v>C:\Users\maxim\Documents\GitHub\Ozon_upload\DTF_images\tatyana\A4\set7\img_50_vert.tif</v>
      </c>
      <c r="F564" s="44">
        <v>1</v>
      </c>
      <c r="G564" s="44">
        <v>1</v>
      </c>
      <c r="H564" s="44"/>
      <c r="I564" s="45" t="s">
        <v>2464</v>
      </c>
      <c r="J564" s="44"/>
      <c r="K564" s="44" t="s">
        <v>1075</v>
      </c>
      <c r="L564" s="11"/>
      <c r="AM564" s="11">
        <v>33</v>
      </c>
      <c r="AN564" s="11">
        <v>220</v>
      </c>
      <c r="AO564" s="11">
        <v>1</v>
      </c>
      <c r="AP564" s="11">
        <v>300</v>
      </c>
      <c r="AQ564" s="14" t="s">
        <v>623</v>
      </c>
    </row>
    <row r="565" spans="1:43" ht="15" x14ac:dyDescent="0.25">
      <c r="A565" s="47" t="s">
        <v>2465</v>
      </c>
      <c r="B565" s="11" t="s">
        <v>2466</v>
      </c>
      <c r="C565" s="44" t="s">
        <v>2467</v>
      </c>
      <c r="D565" s="11" t="str">
        <f t="shared" si="27"/>
        <v>Documents\GitHub\Ozon_upload\barcode\amazing pics\Термонаклейка Акира на троне среди металлолома.pdf</v>
      </c>
      <c r="E565" s="11" t="str">
        <f>CONCATENATE("C:\Users\",username!A170,"\Documents\GitHub\Ozon_upload\DTF_images\tatyana\A4\set7\",C565,".tif")</f>
        <v>C:\Users\maxim\Documents\GitHub\Ozon_upload\DTF_images\tatyana\A4\set7\img_51_vert.tif</v>
      </c>
      <c r="F565" s="44">
        <v>1</v>
      </c>
      <c r="G565" s="44">
        <v>1</v>
      </c>
      <c r="H565" s="44"/>
      <c r="I565" s="45" t="s">
        <v>2468</v>
      </c>
      <c r="J565" s="44"/>
      <c r="K565" s="44" t="s">
        <v>1075</v>
      </c>
      <c r="L565" s="11"/>
      <c r="AM565" s="11">
        <v>33</v>
      </c>
      <c r="AN565" s="11">
        <v>220</v>
      </c>
      <c r="AO565" s="11">
        <v>1</v>
      </c>
      <c r="AP565" s="11">
        <v>300</v>
      </c>
      <c r="AQ565" s="14" t="s">
        <v>623</v>
      </c>
    </row>
    <row r="566" spans="1:43" ht="15" x14ac:dyDescent="0.25">
      <c r="A566" s="47" t="s">
        <v>2469</v>
      </c>
      <c r="B566" s="11" t="s">
        <v>2470</v>
      </c>
      <c r="C566" s="44" t="s">
        <v>2471</v>
      </c>
      <c r="D566" s="11" t="str">
        <f t="shared" si="27"/>
        <v>Documents\GitHub\Ozon_upload\barcode\amazing pics\Термонаклейка Киберпанк мужской портрет.pdf</v>
      </c>
      <c r="E566" s="11" t="str">
        <f>CONCATENATE("C:\Users\",username!A171,"\Documents\GitHub\Ozon_upload\DTF_images\tatyana\A4\set7\",C566,".tif")</f>
        <v>C:\Users\maxim\Documents\GitHub\Ozon_upload\DTF_images\tatyana\A4\set7\img_52_vert.tif</v>
      </c>
      <c r="F566" s="44">
        <v>1</v>
      </c>
      <c r="G566" s="44">
        <v>1</v>
      </c>
      <c r="H566" s="44"/>
      <c r="I566" s="45" t="s">
        <v>2472</v>
      </c>
      <c r="J566" s="44"/>
      <c r="K566" s="44" t="s">
        <v>1075</v>
      </c>
      <c r="L566" s="11"/>
      <c r="AM566" s="11">
        <v>33</v>
      </c>
      <c r="AN566" s="11">
        <v>220</v>
      </c>
      <c r="AO566" s="11">
        <v>1</v>
      </c>
      <c r="AP566" s="11">
        <v>300</v>
      </c>
      <c r="AQ566" s="14" t="s">
        <v>623</v>
      </c>
    </row>
    <row r="567" spans="1:43" ht="15" x14ac:dyDescent="0.25">
      <c r="A567" s="47" t="s">
        <v>2473</v>
      </c>
      <c r="B567" s="11" t="s">
        <v>2474</v>
      </c>
      <c r="C567" s="44" t="s">
        <v>2475</v>
      </c>
      <c r="D567" s="11" t="str">
        <f t="shared" si="27"/>
        <v>Documents\GitHub\Ozon_upload\barcode\amazing pics\Термонаклейка Берсерк воин в аниме стиле.pdf</v>
      </c>
      <c r="E567" s="11" t="str">
        <f>CONCATENATE("C:\Users\",username!A172,"\Documents\GitHub\Ozon_upload\DTF_images\tatyana\A4\set7\",C567,".tif")</f>
        <v>C:\Users\maxim\Documents\GitHub\Ozon_upload\DTF_images\tatyana\A4\set7\img_53_vert.tif</v>
      </c>
      <c r="F567" s="44">
        <v>1</v>
      </c>
      <c r="G567" s="44">
        <v>1</v>
      </c>
      <c r="H567" s="44"/>
      <c r="I567" s="45" t="s">
        <v>2476</v>
      </c>
      <c r="J567" s="44"/>
      <c r="K567" s="44" t="s">
        <v>1075</v>
      </c>
      <c r="L567" s="11"/>
      <c r="AM567" s="11">
        <v>33</v>
      </c>
      <c r="AN567" s="11">
        <v>220</v>
      </c>
      <c r="AO567" s="11">
        <v>1</v>
      </c>
      <c r="AP567" s="11">
        <v>300</v>
      </c>
      <c r="AQ567" s="14" t="s">
        <v>623</v>
      </c>
    </row>
    <row r="568" spans="1:43" ht="15" x14ac:dyDescent="0.25">
      <c r="A568" s="47" t="s">
        <v>2477</v>
      </c>
      <c r="B568" s="11" t="s">
        <v>2478</v>
      </c>
      <c r="C568" s="44" t="s">
        <v>2479</v>
      </c>
      <c r="D568" s="11" t="str">
        <f t="shared" si="27"/>
        <v>Documents\GitHub\Ozon_upload\barcode\amazing pics\Термонаклейка Акира Глаз ядерный взрыв.pdf</v>
      </c>
      <c r="E568" s="11" t="str">
        <f>CONCATENATE("C:\Users\",username!A173,"\Documents\GitHub\Ozon_upload\DTF_images\tatyana\A4\set7\",C568,".tif")</f>
        <v>C:\Users\maxim\Documents\GitHub\Ozon_upload\DTF_images\tatyana\A4\set7\img_54_vert.tif</v>
      </c>
      <c r="F568" s="44">
        <v>1</v>
      </c>
      <c r="G568" s="44">
        <v>1</v>
      </c>
      <c r="H568" s="44"/>
      <c r="I568" s="45" t="s">
        <v>2480</v>
      </c>
      <c r="J568" s="44"/>
      <c r="K568" s="44" t="s">
        <v>1075</v>
      </c>
      <c r="L568" s="11"/>
      <c r="AM568" s="11">
        <v>33</v>
      </c>
      <c r="AN568" s="11">
        <v>220</v>
      </c>
      <c r="AO568" s="11">
        <v>1</v>
      </c>
      <c r="AP568" s="11">
        <v>300</v>
      </c>
      <c r="AQ568" s="14" t="s">
        <v>623</v>
      </c>
    </row>
    <row r="569" spans="1:43" ht="15" x14ac:dyDescent="0.25">
      <c r="A569" s="47" t="s">
        <v>2481</v>
      </c>
      <c r="B569" s="11" t="s">
        <v>2482</v>
      </c>
      <c r="C569" s="44" t="s">
        <v>2483</v>
      </c>
      <c r="D569" s="11" t="str">
        <f t="shared" si="27"/>
        <v>Documents\GitHub\Ozon_upload\barcode\amazing pics\Термонаклейка Акира мотоцикл и разрушения.pdf</v>
      </c>
      <c r="E569" s="11" t="str">
        <f>CONCATENATE("C:\Users\",username!A174,"\Documents\GitHub\Ozon_upload\DTF_images\tatyana\A4\set7\",C569,".tif")</f>
        <v>C:\Users\maxim\Documents\GitHub\Ozon_upload\DTF_images\tatyana\A4\set7\img_55_vert.tif</v>
      </c>
      <c r="F569" s="44">
        <v>1</v>
      </c>
      <c r="G569" s="44">
        <v>1</v>
      </c>
      <c r="H569" s="44"/>
      <c r="I569" s="45" t="s">
        <v>2484</v>
      </c>
      <c r="J569" s="44"/>
      <c r="K569" s="44" t="s">
        <v>1075</v>
      </c>
      <c r="L569" s="11"/>
      <c r="AM569" s="11">
        <v>33</v>
      </c>
      <c r="AN569" s="11">
        <v>220</v>
      </c>
      <c r="AO569" s="11">
        <v>1</v>
      </c>
      <c r="AP569" s="11">
        <v>300</v>
      </c>
      <c r="AQ569" s="14" t="s">
        <v>623</v>
      </c>
    </row>
    <row r="570" spans="1:43" ht="15" x14ac:dyDescent="0.25">
      <c r="A570" s="47" t="s">
        <v>2485</v>
      </c>
      <c r="B570" s="11" t="s">
        <v>2486</v>
      </c>
      <c r="C570" s="44" t="s">
        <v>2487</v>
      </c>
      <c r="D570" s="11" t="str">
        <f t="shared" si="27"/>
        <v>Documents\GitHub\Ozon_upload\barcode\amazing pics\Термонаклейка Самурай в маске воина.pdf</v>
      </c>
      <c r="E570" s="11" t="str">
        <f>CONCATENATE("C:\Users\",username!A175,"\Documents\GitHub\Ozon_upload\DTF_images\tatyana\A4\set7\",C570,".tif")</f>
        <v>C:\Users\maxim\Documents\GitHub\Ozon_upload\DTF_images\tatyana\A4\set7\img_56_vert.tif</v>
      </c>
      <c r="F570" s="44">
        <v>1</v>
      </c>
      <c r="G570" s="44">
        <v>1</v>
      </c>
      <c r="H570" s="44"/>
      <c r="I570" s="45" t="s">
        <v>2488</v>
      </c>
      <c r="J570" s="44"/>
      <c r="K570" s="44" t="s">
        <v>1075</v>
      </c>
      <c r="L570" s="11"/>
      <c r="AM570" s="11">
        <v>33</v>
      </c>
      <c r="AN570" s="11">
        <v>220</v>
      </c>
      <c r="AO570" s="11">
        <v>1</v>
      </c>
      <c r="AP570" s="11">
        <v>300</v>
      </c>
      <c r="AQ570" s="14" t="s">
        <v>623</v>
      </c>
    </row>
    <row r="571" spans="1:43" ht="15" x14ac:dyDescent="0.25">
      <c r="A571" s="49" t="s">
        <v>2489</v>
      </c>
      <c r="B571" s="11" t="s">
        <v>2490</v>
      </c>
      <c r="C571" s="44" t="s">
        <v>2491</v>
      </c>
      <c r="D571" s="11" t="str">
        <f t="shared" si="27"/>
        <v>Documents\GitHub\Ozon_upload\barcode\amazing pics\Термонаклейка Череп в терновом венке и розах.pdf</v>
      </c>
      <c r="E571" s="11" t="str">
        <f>CONCATENATE("C:\Users\",username!A176,"\Documents\GitHub\Ozon_upload\DTF_images\tatyana\A4\set7\",C571,".tif")</f>
        <v>C:\Users\maxim\Documents\GitHub\Ozon_upload\DTF_images\tatyana\A4\set7\img_57_vert.tif</v>
      </c>
      <c r="F571" s="44">
        <v>1</v>
      </c>
      <c r="G571" s="44">
        <v>1</v>
      </c>
      <c r="H571" s="44"/>
      <c r="I571" s="45" t="s">
        <v>2492</v>
      </c>
      <c r="J571" s="44"/>
      <c r="K571" s="44" t="s">
        <v>1075</v>
      </c>
      <c r="L571" s="11"/>
      <c r="AM571" s="11">
        <v>33</v>
      </c>
      <c r="AN571" s="11">
        <v>220</v>
      </c>
      <c r="AO571" s="11">
        <v>1</v>
      </c>
      <c r="AP571" s="11">
        <v>300</v>
      </c>
      <c r="AQ571" s="14" t="s">
        <v>623</v>
      </c>
    </row>
    <row r="572" spans="1:43" ht="15" x14ac:dyDescent="0.25">
      <c r="A572" s="47" t="s">
        <v>2493</v>
      </c>
      <c r="B572" s="11" t="s">
        <v>2494</v>
      </c>
      <c r="C572" s="44" t="s">
        <v>2495</v>
      </c>
      <c r="D572" s="11" t="str">
        <f t="shared" si="27"/>
        <v>Documents\GitHub\Ozon_upload\barcode\amazing pics\Термонаклейка Череп в куртке Punk Not Dead.pdf</v>
      </c>
      <c r="E572" s="11" t="str">
        <f>CONCATENATE("C:\Users\",username!A177,"\Documents\GitHub\Ozon_upload\DTF_images\tatyana\A4\set7\",C572,".tif")</f>
        <v>C:\Users\maxim\Documents\GitHub\Ozon_upload\DTF_images\tatyana\A4\set7\img_58_vert.tif</v>
      </c>
      <c r="F572" s="44">
        <v>1</v>
      </c>
      <c r="G572" s="44">
        <v>1</v>
      </c>
      <c r="H572" s="44"/>
      <c r="I572" s="45" t="s">
        <v>2496</v>
      </c>
      <c r="J572" s="44"/>
      <c r="K572" s="44" t="s">
        <v>1075</v>
      </c>
      <c r="L572" s="11"/>
      <c r="AM572" s="11">
        <v>33</v>
      </c>
      <c r="AN572" s="11">
        <v>220</v>
      </c>
      <c r="AO572" s="11">
        <v>1</v>
      </c>
      <c r="AP572" s="11">
        <v>300</v>
      </c>
      <c r="AQ572" s="14" t="s">
        <v>623</v>
      </c>
    </row>
    <row r="573" spans="1:43" ht="15" x14ac:dyDescent="0.25">
      <c r="A573" s="47" t="s">
        <v>2497</v>
      </c>
      <c r="B573" s="11" t="s">
        <v>2498</v>
      </c>
      <c r="C573" s="44" t="s">
        <v>2499</v>
      </c>
      <c r="D573" s="11" t="str">
        <f t="shared" si="27"/>
        <v>Documents\GitHub\Ozon_upload\barcode\amazing pics\Термонаклейка Гарри Поттер и Хагрид курят.pdf</v>
      </c>
      <c r="E573" s="11" t="str">
        <f>CONCATENATE("C:\Users\",username!A178,"\Documents\GitHub\Ozon_upload\DTF_images\tatyana\A4\set7\",C573,".tif")</f>
        <v>C:\Users\maxim\Documents\GitHub\Ozon_upload\DTF_images\tatyana\A4\set7\img_59_vert.tif</v>
      </c>
      <c r="F573" s="44">
        <v>1</v>
      </c>
      <c r="G573" s="44">
        <v>1</v>
      </c>
      <c r="H573" s="44"/>
      <c r="I573" s="45" t="s">
        <v>2500</v>
      </c>
      <c r="J573" s="44"/>
      <c r="K573" s="44" t="s">
        <v>1075</v>
      </c>
      <c r="L573" s="11"/>
      <c r="AM573" s="11">
        <v>33</v>
      </c>
      <c r="AN573" s="11">
        <v>220</v>
      </c>
      <c r="AO573" s="11">
        <v>1</v>
      </c>
      <c r="AP573" s="11">
        <v>300</v>
      </c>
      <c r="AQ573" s="14" t="s">
        <v>623</v>
      </c>
    </row>
    <row r="574" spans="1:43" ht="15" x14ac:dyDescent="0.25">
      <c r="A574" s="47" t="s">
        <v>2501</v>
      </c>
      <c r="B574" s="11" t="s">
        <v>2502</v>
      </c>
      <c r="C574" s="44" t="s">
        <v>2503</v>
      </c>
      <c r="D574" s="11" t="str">
        <f t="shared" si="27"/>
        <v>Documents\GitHub\Ozon_upload\barcode\amazing pics\Термонаклейка Киберпанк череп с ирокезом.pdf</v>
      </c>
      <c r="E574" s="11" t="str">
        <f>CONCATENATE("C:\Users\",username!A179,"\Documents\GitHub\Ozon_upload\DTF_images\tatyana\A4\set7\",C574,".tif")</f>
        <v>C:\Users\maxim\Documents\GitHub\Ozon_upload\DTF_images\tatyana\A4\set7\img_60_vert.tif</v>
      </c>
      <c r="F574" s="44">
        <v>1</v>
      </c>
      <c r="G574" s="44">
        <v>1</v>
      </c>
      <c r="H574" s="44"/>
      <c r="I574" s="45" t="s">
        <v>2504</v>
      </c>
      <c r="J574" s="44"/>
      <c r="K574" s="44" t="s">
        <v>1075</v>
      </c>
      <c r="L574" s="11"/>
      <c r="AM574" s="11">
        <v>33</v>
      </c>
      <c r="AN574" s="11">
        <v>220</v>
      </c>
      <c r="AO574" s="11">
        <v>1</v>
      </c>
      <c r="AP574" s="11">
        <v>300</v>
      </c>
      <c r="AQ574" s="14" t="s">
        <v>623</v>
      </c>
    </row>
    <row r="575" spans="1:43" ht="15" x14ac:dyDescent="0.25">
      <c r="A575" s="47" t="s">
        <v>2505</v>
      </c>
      <c r="B575" s="11" t="s">
        <v>2506</v>
      </c>
      <c r="C575" s="44" t="s">
        <v>2507</v>
      </c>
      <c r="D575" s="11" t="str">
        <f t="shared" si="27"/>
        <v>Documents\GitHub\Ozon_upload\barcode\amazing pics\Термонаклейка Пантера в огненной ярости красный.pdf</v>
      </c>
      <c r="E575" s="11" t="str">
        <f>CONCATENATE("C:\Users\",username!A180,"\Documents\GitHub\Ozon_upload\DTF_images\tatyana\A4\set7\",C575,".tif")</f>
        <v>C:\Users\maxim\Documents\GitHub\Ozon_upload\DTF_images\tatyana\A4\set7\img_61_vert.tif</v>
      </c>
      <c r="F575" s="44">
        <v>1</v>
      </c>
      <c r="G575" s="44">
        <v>1</v>
      </c>
      <c r="H575" s="44"/>
      <c r="I575" s="45" t="s">
        <v>2508</v>
      </c>
      <c r="J575" s="44"/>
      <c r="K575" s="44" t="s">
        <v>1075</v>
      </c>
      <c r="L575" s="11"/>
      <c r="AM575" s="11">
        <v>33</v>
      </c>
      <c r="AN575" s="11">
        <v>220</v>
      </c>
      <c r="AO575" s="11">
        <v>1</v>
      </c>
      <c r="AP575" s="11">
        <v>300</v>
      </c>
      <c r="AQ575" s="14" t="s">
        <v>623</v>
      </c>
    </row>
    <row r="576" spans="1:43" ht="15" x14ac:dyDescent="0.25">
      <c r="A576" s="47" t="s">
        <v>2509</v>
      </c>
      <c r="B576" s="11" t="s">
        <v>2510</v>
      </c>
      <c r="C576" s="44" t="s">
        <v>2511</v>
      </c>
      <c r="D576" s="11" t="str">
        <f t="shared" si="27"/>
        <v>Documents\GitHub\Ozon_upload\barcode\amazing pics\Термонаклейка Кибердевушка с капюшоном.pdf</v>
      </c>
      <c r="E576" s="11" t="str">
        <f>CONCATENATE("C:\Users\",username!A181,"\Documents\GitHub\Ozon_upload\DTF_images\tatyana\A4\set7\",C576,".tif")</f>
        <v>C:\Users\maxim\Documents\GitHub\Ozon_upload\DTF_images\tatyana\A4\set7\img_62_vert.tif</v>
      </c>
      <c r="F576" s="44">
        <v>1</v>
      </c>
      <c r="G576" s="44">
        <v>1</v>
      </c>
      <c r="H576" s="44"/>
      <c r="I576" s="45" t="s">
        <v>2512</v>
      </c>
      <c r="J576" s="44"/>
      <c r="K576" s="44" t="s">
        <v>1075</v>
      </c>
      <c r="L576" s="11"/>
      <c r="AM576" s="11">
        <v>33</v>
      </c>
      <c r="AN576" s="11">
        <v>220</v>
      </c>
      <c r="AO576" s="11">
        <v>1</v>
      </c>
      <c r="AP576" s="11">
        <v>300</v>
      </c>
      <c r="AQ576" s="14" t="s">
        <v>623</v>
      </c>
    </row>
    <row r="577" spans="1:48" ht="15" x14ac:dyDescent="0.25">
      <c r="A577" s="47" t="s">
        <v>2513</v>
      </c>
      <c r="B577" s="11" t="s">
        <v>2514</v>
      </c>
      <c r="C577" s="44" t="s">
        <v>2515</v>
      </c>
      <c r="D577" s="11" t="str">
        <f t="shared" si="27"/>
        <v>Documents\GitHub\Ozon_upload\barcode\amazing pics\Термонаклейка Череп с рогами и логотипом Metallica.pdf</v>
      </c>
      <c r="E577" s="11" t="str">
        <f>CONCATENATE("C:\Users\",username!A182,"\Documents\GitHub\Ozon_upload\DTF_images\tatyana\A4\set7\",C577,".tif")</f>
        <v>C:\Users\maxim\Documents\GitHub\Ozon_upload\DTF_images\tatyana\A4\set7\img_63_vert.tif</v>
      </c>
      <c r="F577" s="44">
        <v>1</v>
      </c>
      <c r="G577" s="44">
        <v>1</v>
      </c>
      <c r="H577" s="44"/>
      <c r="I577" s="45" t="s">
        <v>2516</v>
      </c>
      <c r="J577" s="44"/>
      <c r="K577" s="44" t="s">
        <v>1075</v>
      </c>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v>33</v>
      </c>
      <c r="AN577" s="46">
        <v>220</v>
      </c>
      <c r="AO577" s="46">
        <v>1</v>
      </c>
      <c r="AP577" s="46">
        <v>300</v>
      </c>
      <c r="AQ577" s="2" t="s">
        <v>623</v>
      </c>
      <c r="AR577" s="46"/>
      <c r="AS577" s="46"/>
      <c r="AT577" s="46"/>
      <c r="AU577" s="46"/>
      <c r="AV577" s="46"/>
    </row>
    <row r="578" spans="1:48" ht="15" x14ac:dyDescent="0.25">
      <c r="A578" s="47" t="s">
        <v>2517</v>
      </c>
      <c r="B578" s="11" t="s">
        <v>2518</v>
      </c>
      <c r="C578" s="44" t="s">
        <v>2519</v>
      </c>
      <c r="D578" s="11" t="str">
        <f t="shared" si="27"/>
        <v>Documents\GitHub\Ozon_upload\barcode\amazing pics\Термонаклейка Берсерк Рыцарь с мечом под луной.pdf</v>
      </c>
      <c r="E578" s="11" t="str">
        <f>CONCATENATE("C:\Users\",username!A183,"\Documents\GitHub\Ozon_upload\DTF_images\tatyana\A4\set7\",C578,".tif")</f>
        <v>C:\Users\maxim\Documents\GitHub\Ozon_upload\DTF_images\tatyana\A4\set7\img_64_vert.tif</v>
      </c>
      <c r="F578" s="44">
        <v>1</v>
      </c>
      <c r="G578" s="44">
        <v>1</v>
      </c>
      <c r="H578" s="44"/>
      <c r="I578" s="45" t="s">
        <v>2520</v>
      </c>
      <c r="J578" s="44"/>
      <c r="K578" s="44" t="s">
        <v>1075</v>
      </c>
      <c r="L578" s="11"/>
      <c r="AM578" s="11">
        <v>33</v>
      </c>
      <c r="AN578" s="11">
        <v>220</v>
      </c>
      <c r="AO578" s="11">
        <v>1</v>
      </c>
      <c r="AP578" s="11">
        <v>300</v>
      </c>
      <c r="AQ578" s="14" t="s">
        <v>623</v>
      </c>
    </row>
    <row r="579" spans="1:48" ht="15" x14ac:dyDescent="0.25">
      <c r="A579" s="47" t="s">
        <v>2521</v>
      </c>
      <c r="B579" s="11" t="s">
        <v>2522</v>
      </c>
      <c r="C579" s="44" t="s">
        <v>2523</v>
      </c>
      <c r="D579" s="11" t="str">
        <f t="shared" si="27"/>
        <v>Documents\GitHub\Ozon_upload\barcode\amazing pics\Термонаклейка Чёрный кот Catzilla Годзилла луч.pdf</v>
      </c>
      <c r="E579" s="11" t="str">
        <f>CONCATENATE("C:\Users\",username!A184,"\Documents\GitHub\Ozon_upload\DTF_images\tatyana\A4\set7\",C579,".tif")</f>
        <v>C:\Users\maxim\Documents\GitHub\Ozon_upload\DTF_images\tatyana\A4\set7\img_65_vert.tif</v>
      </c>
      <c r="F579" s="44">
        <v>1</v>
      </c>
      <c r="G579" s="44">
        <v>1</v>
      </c>
      <c r="H579" s="44"/>
      <c r="I579" s="45" t="s">
        <v>2524</v>
      </c>
      <c r="J579" s="44"/>
      <c r="K579" s="44" t="s">
        <v>1075</v>
      </c>
      <c r="L579" s="11"/>
      <c r="AM579" s="11">
        <v>33</v>
      </c>
      <c r="AN579" s="11">
        <v>220</v>
      </c>
      <c r="AO579" s="11">
        <v>1</v>
      </c>
      <c r="AP579" s="11">
        <v>300</v>
      </c>
      <c r="AQ579" s="14" t="s">
        <v>623</v>
      </c>
    </row>
    <row r="580" spans="1:48" ht="15" x14ac:dyDescent="0.25">
      <c r="A580" s="47" t="s">
        <v>2525</v>
      </c>
      <c r="B580" s="11" t="s">
        <v>2526</v>
      </c>
      <c r="C580" s="44" t="s">
        <v>2527</v>
      </c>
      <c r="D580" s="11" t="str">
        <f t="shared" si="27"/>
        <v>Documents\GitHub\Ozon_upload\barcode\amazing pics\Термонаклейка Сигма мем американский психопат.pdf</v>
      </c>
      <c r="E580" s="11" t="str">
        <f>CONCATENATE("C:\Users\",username!A185,"\Documents\GitHub\Ozon_upload\DTF_images\tatyana\A4\set7\",C580,".tif")</f>
        <v>C:\Users\maxim\Documents\GitHub\Ozon_upload\DTF_images\tatyana\A4\set7\img_66_vert.tif</v>
      </c>
      <c r="F580" s="44">
        <v>1</v>
      </c>
      <c r="G580" s="44">
        <v>1</v>
      </c>
      <c r="H580" s="44"/>
      <c r="I580" s="45" t="s">
        <v>2528</v>
      </c>
      <c r="J580" s="44"/>
      <c r="K580" s="44" t="s">
        <v>1075</v>
      </c>
      <c r="L580" s="11"/>
      <c r="AM580" s="11">
        <v>33</v>
      </c>
      <c r="AN580" s="11">
        <v>220</v>
      </c>
      <c r="AO580" s="11">
        <v>1</v>
      </c>
      <c r="AP580" s="11">
        <v>300</v>
      </c>
      <c r="AQ580" s="14" t="s">
        <v>623</v>
      </c>
    </row>
    <row r="581" spans="1:48" ht="15" x14ac:dyDescent="0.25">
      <c r="A581" s="47" t="s">
        <v>2529</v>
      </c>
      <c r="B581" s="48" t="s">
        <v>2530</v>
      </c>
      <c r="C581" s="44" t="s">
        <v>2531</v>
      </c>
      <c r="D581" s="11" t="str">
        <f t="shared" si="27"/>
        <v>Documents\GitHub\Ozon_upload\barcode\amazing pics\Термонаклейка Шрек мем поднимает голову.pdf</v>
      </c>
      <c r="E581" s="11" t="str">
        <f>CONCATENATE("C:\Users\",username!A186,"\Documents\GitHub\Ozon_upload\DTF_images\tatyana\A4\set7\",C581,".tif")</f>
        <v>C:\Users\maxim\Documents\GitHub\Ozon_upload\DTF_images\tatyana\A4\set7\img_67_vert.tif</v>
      </c>
      <c r="F581" s="44">
        <v>1</v>
      </c>
      <c r="G581" s="44">
        <v>1</v>
      </c>
      <c r="H581" s="44"/>
      <c r="I581" s="45" t="s">
        <v>2532</v>
      </c>
      <c r="J581" s="44"/>
      <c r="K581" s="44" t="s">
        <v>1075</v>
      </c>
      <c r="L581" s="11"/>
      <c r="AM581" s="11">
        <v>33</v>
      </c>
      <c r="AN581" s="11">
        <v>220</v>
      </c>
      <c r="AO581" s="11">
        <v>1</v>
      </c>
      <c r="AP581" s="11">
        <v>300</v>
      </c>
      <c r="AQ581" s="14" t="s">
        <v>623</v>
      </c>
    </row>
    <row r="582" spans="1:48" x14ac:dyDescent="0.2">
      <c r="A582" s="1" t="s">
        <v>2533</v>
      </c>
      <c r="B582" s="1" t="s">
        <v>2533</v>
      </c>
      <c r="D582" s="11" t="str">
        <f t="shared" si="27"/>
        <v>Documents\GitHub\Ozon_upload\barcode\amazing pics\баркод тест.pdf</v>
      </c>
      <c r="E582" s="11" t="str">
        <f>CONCATENATE("C:\Users\",username!A187,"\Documents\GitHub\Ozon_upload\DTF_images\tatyana\A4\set7\",C582,".tif")</f>
        <v>C:\Users\maxim\Documents\GitHub\Ozon_upload\DTF_images\tatyana\A4\set7\.tif</v>
      </c>
      <c r="F582" s="44">
        <v>1</v>
      </c>
      <c r="G582" s="44">
        <v>1</v>
      </c>
      <c r="H582" s="44"/>
      <c r="I582" s="45" t="s">
        <v>2534</v>
      </c>
      <c r="J582" s="44"/>
      <c r="K582" s="44" t="s">
        <v>1075</v>
      </c>
      <c r="L582" s="11"/>
      <c r="AM582" s="11">
        <v>33</v>
      </c>
      <c r="AN582" s="11">
        <v>220</v>
      </c>
      <c r="AO582" s="11">
        <v>1</v>
      </c>
      <c r="AP582" s="11">
        <v>300</v>
      </c>
      <c r="AQ582" s="14" t="s">
        <v>623</v>
      </c>
    </row>
    <row r="583" spans="1:48" ht="15" x14ac:dyDescent="0.25">
      <c r="A583" s="50" t="s">
        <v>3032</v>
      </c>
      <c r="B583" s="56" t="s">
        <v>2535</v>
      </c>
      <c r="C583" s="51" t="s">
        <v>2536</v>
      </c>
      <c r="D583" s="51" t="str">
        <f t="shared" si="27"/>
        <v>Documents\GitHub\Ozon_upload\barcode\amazing pics\Термонаклейка Кот сфинкс арт на красный фон.pdf</v>
      </c>
      <c r="E583" s="52" t="str">
        <f>CONCATENATE("C:\Users\",username!A188,"\Documents\GitHub\Ozon_upload\DTF_images\tatyana\A4\set11\",C583,".tif")</f>
        <v>C:\Users\maxim\Documents\GitHub\Ozon_upload\DTF_images\tatyana\A4\set11\img_set11_1_vert.tif</v>
      </c>
      <c r="F583" s="53">
        <v>1</v>
      </c>
      <c r="G583" s="53">
        <v>1</v>
      </c>
      <c r="I583" s="54" t="s">
        <v>2537</v>
      </c>
      <c r="K583" s="37" t="s">
        <v>1075</v>
      </c>
      <c r="AM583" s="27"/>
      <c r="AN583" s="27"/>
      <c r="AO583" s="27"/>
      <c r="AP583" s="27"/>
      <c r="AQ583" s="14" t="s">
        <v>623</v>
      </c>
    </row>
    <row r="584" spans="1:48" ht="15" x14ac:dyDescent="0.25">
      <c r="A584" s="50" t="s">
        <v>2538</v>
      </c>
      <c r="B584" t="s">
        <v>2539</v>
      </c>
      <c r="C584" s="21" t="s">
        <v>2540</v>
      </c>
      <c r="D584" s="51" t="str">
        <f t="shared" si="27"/>
        <v>Documents\GitHub\Ozon_upload\barcode\amazing pics\Термонаклейка Япония кот и гора Фудзи.pdf</v>
      </c>
      <c r="E584" s="52" t="str">
        <f>CONCATENATE("C:\Users\",username!A189,"\Documents\GitHub\Ozon_upload\DTF_images\tatyana\A4\set11\",C584,".tif")</f>
        <v>C:\Users\maxim\Documents\GitHub\Ozon_upload\DTF_images\tatyana\A4\set11\img_set11_2_vert.tif</v>
      </c>
      <c r="F584" s="21">
        <v>1</v>
      </c>
      <c r="G584" s="21">
        <v>1</v>
      </c>
      <c r="I584" s="54" t="s">
        <v>2541</v>
      </c>
      <c r="K584" s="37" t="s">
        <v>1075</v>
      </c>
      <c r="AM584" s="27"/>
      <c r="AN584" s="27"/>
      <c r="AO584" s="27"/>
      <c r="AP584" s="27"/>
      <c r="AQ584" s="14" t="s">
        <v>623</v>
      </c>
    </row>
    <row r="585" spans="1:48" ht="15" x14ac:dyDescent="0.25">
      <c r="A585" s="50" t="s">
        <v>2542</v>
      </c>
      <c r="B585" t="s">
        <v>2543</v>
      </c>
      <c r="C585" s="21" t="s">
        <v>2544</v>
      </c>
      <c r="D585" s="51" t="str">
        <f t="shared" si="27"/>
        <v>Documents\GitHub\Ozon_upload\barcode\amazing pics\Термонаклейка Девушка в красном над морем.pdf</v>
      </c>
      <c r="E585" s="52" t="str">
        <f>CONCATENATE("C:\Users\",username!A190,"\Documents\GitHub\Ozon_upload\DTF_images\tatyana\A4\set11\",C585,".tif")</f>
        <v>C:\Users\maxim\Documents\GitHub\Ozon_upload\DTF_images\tatyana\A4\set11\img_set11_3_vert.tif</v>
      </c>
      <c r="F585" s="21">
        <v>1</v>
      </c>
      <c r="G585" s="21">
        <v>1</v>
      </c>
      <c r="I585" s="54" t="s">
        <v>2545</v>
      </c>
      <c r="K585" s="37" t="s">
        <v>1075</v>
      </c>
      <c r="AM585" s="29"/>
      <c r="AQ585" s="14" t="s">
        <v>623</v>
      </c>
    </row>
    <row r="586" spans="1:48" ht="15" x14ac:dyDescent="0.25">
      <c r="A586" s="50" t="s">
        <v>2546</v>
      </c>
      <c r="B586" t="s">
        <v>2547</v>
      </c>
      <c r="C586" s="21" t="s">
        <v>2548</v>
      </c>
      <c r="D586" s="51" t="str">
        <f t="shared" ref="D586:D649" si="28">CONCATENATE("Documents\GitHub\Ozon_upload\barcode\amazing pics\", A586, ".pdf")</f>
        <v>Documents\GitHub\Ozon_upload\barcode\amazing pics\Термонаклейка Девушка на пути к свету.pdf</v>
      </c>
      <c r="E586" s="52" t="str">
        <f>CONCATENATE("C:\Users\",username!A191,"\Documents\GitHub\Ozon_upload\DTF_images\tatyana\A4\set11\",C586,".tif")</f>
        <v>C:\Users\maxim\Documents\GitHub\Ozon_upload\DTF_images\tatyana\A4\set11\img_set11_4_vert.tif</v>
      </c>
      <c r="F586" s="21">
        <v>1</v>
      </c>
      <c r="G586" s="21">
        <v>1</v>
      </c>
      <c r="I586" s="54" t="s">
        <v>2549</v>
      </c>
      <c r="K586" s="37" t="s">
        <v>1075</v>
      </c>
      <c r="AM586" s="29"/>
      <c r="AQ586" s="14" t="s">
        <v>623</v>
      </c>
    </row>
    <row r="587" spans="1:48" ht="15" x14ac:dyDescent="0.25">
      <c r="A587" s="50" t="s">
        <v>2550</v>
      </c>
      <c r="B587" t="s">
        <v>2551</v>
      </c>
      <c r="C587" s="21" t="s">
        <v>2552</v>
      </c>
      <c r="D587" s="51" t="str">
        <f t="shared" si="28"/>
        <v>Documents\GitHub\Ozon_upload\barcode\amazing pics\Термонаклейка Поле тюльпанов под небом.pdf</v>
      </c>
      <c r="E587" s="52" t="str">
        <f>CONCATENATE("C:\Users\",username!A192,"\Documents\GitHub\Ozon_upload\DTF_images\tatyana\A4\set11\",C587,".tif")</f>
        <v>C:\Users\maxim\Documents\GitHub\Ozon_upload\DTF_images\tatyana\A4\set11\img_set11_5_vert.tif</v>
      </c>
      <c r="F587" s="21">
        <v>1</v>
      </c>
      <c r="G587" s="21">
        <v>1</v>
      </c>
      <c r="I587" s="54" t="s">
        <v>2553</v>
      </c>
      <c r="K587" s="37" t="s">
        <v>1075</v>
      </c>
      <c r="AM587" s="29"/>
      <c r="AQ587" s="14" t="s">
        <v>623</v>
      </c>
    </row>
    <row r="588" spans="1:48" ht="15" x14ac:dyDescent="0.25">
      <c r="A588" s="50" t="s">
        <v>2554</v>
      </c>
      <c r="B588" t="s">
        <v>2555</v>
      </c>
      <c r="C588" s="21" t="s">
        <v>2556</v>
      </c>
      <c r="D588" s="51" t="str">
        <f t="shared" si="28"/>
        <v>Documents\GitHub\Ozon_upload\barcode\amazing pics\Термонаклейка Девушка с подсолнухом.pdf</v>
      </c>
      <c r="E588" s="52" t="str">
        <f>CONCATENATE("C:\Users\",username!A193,"\Documents\GitHub\Ozon_upload\DTF_images\tatyana\A4\set11\",C588,".tif")</f>
        <v>C:\Users\maxim\Documents\GitHub\Ozon_upload\DTF_images\tatyana\A4\set11\img_set11_6_vert.tif</v>
      </c>
      <c r="F588" s="21">
        <v>1</v>
      </c>
      <c r="G588" s="21">
        <v>1</v>
      </c>
      <c r="I588" s="54" t="s">
        <v>2557</v>
      </c>
      <c r="K588" s="37" t="s">
        <v>1075</v>
      </c>
      <c r="AM588" s="29"/>
      <c r="AQ588" s="14" t="s">
        <v>623</v>
      </c>
    </row>
    <row r="589" spans="1:48" ht="15" x14ac:dyDescent="0.25">
      <c r="A589" s="50" t="s">
        <v>2558</v>
      </c>
      <c r="B589" t="s">
        <v>2559</v>
      </c>
      <c r="C589" s="21" t="s">
        <v>2560</v>
      </c>
      <c r="D589" s="51" t="str">
        <f t="shared" si="28"/>
        <v>Documents\GitHub\Ozon_upload\barcode\amazing pics\Термонаклейка Неоновая девушка луна.pdf</v>
      </c>
      <c r="E589" s="52" t="str">
        <f>CONCATENATE("C:\Users\",username!A194,"\Documents\GitHub\Ozon_upload\DTF_images\tatyana\A4\set11\",C589,".tif")</f>
        <v>C:\Users\maxim\Documents\GitHub\Ozon_upload\DTF_images\tatyana\A4\set11\img_set11_7_vert.tif</v>
      </c>
      <c r="F589" s="21">
        <v>1</v>
      </c>
      <c r="G589" s="21">
        <v>1</v>
      </c>
      <c r="I589" s="54" t="s">
        <v>2561</v>
      </c>
      <c r="K589" s="37" t="s">
        <v>1075</v>
      </c>
      <c r="AM589" s="29"/>
      <c r="AQ589" s="14" t="s">
        <v>628</v>
      </c>
    </row>
    <row r="590" spans="1:48" ht="15" x14ac:dyDescent="0.25">
      <c r="A590" s="50" t="s">
        <v>2562</v>
      </c>
      <c r="B590" t="s">
        <v>2563</v>
      </c>
      <c r="C590" s="21" t="s">
        <v>2564</v>
      </c>
      <c r="D590" s="51" t="str">
        <f t="shared" si="28"/>
        <v>Documents\GitHub\Ozon_upload\barcode\amazing pics\Термонаклейка Нежный ангел арт.pdf</v>
      </c>
      <c r="E590" s="52" t="str">
        <f>CONCATENATE("C:\Users\",username!A195,"\Documents\GitHub\Ozon_upload\DTF_images\tatyana\A4\set11\",C590,".tif")</f>
        <v>C:\Users\maxim\Documents\GitHub\Ozon_upload\DTF_images\tatyana\A4\set11\img_set11_8_vert.tif</v>
      </c>
      <c r="F590" s="21">
        <v>1</v>
      </c>
      <c r="G590" s="21">
        <v>1</v>
      </c>
      <c r="I590" s="54" t="s">
        <v>2565</v>
      </c>
      <c r="K590" s="37" t="s">
        <v>1075</v>
      </c>
      <c r="AM590" s="29"/>
      <c r="AQ590" s="14" t="s">
        <v>623</v>
      </c>
    </row>
    <row r="591" spans="1:48" ht="15" x14ac:dyDescent="0.25">
      <c r="A591" s="50" t="s">
        <v>2566</v>
      </c>
      <c r="B591" t="s">
        <v>2567</v>
      </c>
      <c r="C591" s="21" t="s">
        <v>2568</v>
      </c>
      <c r="D591" s="51" t="str">
        <f t="shared" si="28"/>
        <v>Documents\GitHub\Ozon_upload\barcode\amazing pics\Термонаклейка Дерево из сердец.pdf</v>
      </c>
      <c r="E591" s="52" t="str">
        <f>CONCATENATE("C:\Users\",username!A196,"\Documents\GitHub\Ozon_upload\DTF_images\tatyana\A4\set11\",C591,".tif")</f>
        <v>C:\Users\maxim\Documents\GitHub\Ozon_upload\DTF_images\tatyana\A4\set11\img_set11_9_vert.tif</v>
      </c>
      <c r="F591" s="21">
        <v>1</v>
      </c>
      <c r="G591" s="21">
        <v>1</v>
      </c>
      <c r="I591" s="54" t="s">
        <v>2569</v>
      </c>
      <c r="K591" s="37" t="s">
        <v>1075</v>
      </c>
      <c r="AM591" s="29"/>
      <c r="AQ591" s="14" t="s">
        <v>623</v>
      </c>
    </row>
    <row r="592" spans="1:48" ht="15" x14ac:dyDescent="0.25">
      <c r="A592" s="50" t="s">
        <v>2570</v>
      </c>
      <c r="B592" t="s">
        <v>2571</v>
      </c>
      <c r="C592" s="21" t="s">
        <v>2572</v>
      </c>
      <c r="D592" s="51" t="str">
        <f t="shared" si="28"/>
        <v>Documents\GitHub\Ozon_upload\barcode\amazing pics\Термонаклейка Девушка и конь в цветах.pdf</v>
      </c>
      <c r="E592" s="52" t="str">
        <f>CONCATENATE("C:\Users\",username!A197,"\Documents\GitHub\Ozon_upload\DTF_images\tatyana\A4\set11\",C592,".tif")</f>
        <v>C:\Users\maxim\Documents\GitHub\Ozon_upload\DTF_images\tatyana\A4\set11\img_set11_10_vert.tif</v>
      </c>
      <c r="F592" s="21">
        <v>1</v>
      </c>
      <c r="G592" s="21">
        <v>1</v>
      </c>
      <c r="I592" s="54" t="s">
        <v>2573</v>
      </c>
      <c r="K592" s="37" t="s">
        <v>1075</v>
      </c>
      <c r="AM592" s="29"/>
      <c r="AQ592" s="14" t="s">
        <v>623</v>
      </c>
    </row>
    <row r="593" spans="1:43" ht="15" x14ac:dyDescent="0.25">
      <c r="A593" s="50" t="s">
        <v>2574</v>
      </c>
      <c r="B593" t="s">
        <v>2575</v>
      </c>
      <c r="C593" s="21" t="s">
        <v>2576</v>
      </c>
      <c r="D593" s="51" t="str">
        <f t="shared" si="28"/>
        <v>Documents\GitHub\Ozon_upload\barcode\amazing pics\Термонаклейка Девушка у моря и вино.pdf</v>
      </c>
      <c r="E593" s="52" t="str">
        <f>CONCATENATE("C:\Users\",username!A198,"\Documents\GitHub\Ozon_upload\DTF_images\tatyana\A4\set11\",C593,".tif")</f>
        <v>C:\Users\maxim\Documents\GitHub\Ozon_upload\DTF_images\tatyana\A4\set11\img_set11_11_vert.tif</v>
      </c>
      <c r="F593" s="21">
        <v>1</v>
      </c>
      <c r="G593" s="21">
        <v>1</v>
      </c>
      <c r="I593" s="54" t="s">
        <v>2577</v>
      </c>
      <c r="K593" s="37" t="s">
        <v>1075</v>
      </c>
      <c r="AM593" s="29"/>
      <c r="AQ593" s="14" t="s">
        <v>623</v>
      </c>
    </row>
    <row r="594" spans="1:43" ht="15" x14ac:dyDescent="0.25">
      <c r="A594" s="50" t="s">
        <v>2578</v>
      </c>
      <c r="B594" t="s">
        <v>2579</v>
      </c>
      <c r="C594" s="21" t="s">
        <v>2580</v>
      </c>
      <c r="D594" s="51" t="str">
        <f t="shared" si="28"/>
        <v>Documents\GitHub\Ozon_upload\barcode\amazing pics\Термонаклейка Котик в синем платке.pdf</v>
      </c>
      <c r="E594" s="52" t="str">
        <f>CONCATENATE("C:\Users\",username!A199,"\Documents\GitHub\Ozon_upload\DTF_images\tatyana\A4\set11\",C594,".tif")</f>
        <v>C:\Users\maxim\Documents\GitHub\Ozon_upload\DTF_images\tatyana\A4\set11\img_set11_12_vert.tif</v>
      </c>
      <c r="F594" s="21">
        <v>1</v>
      </c>
      <c r="G594" s="21">
        <v>1</v>
      </c>
      <c r="I594" s="54" t="s">
        <v>2581</v>
      </c>
      <c r="K594" s="37" t="s">
        <v>1075</v>
      </c>
      <c r="AM594" s="29"/>
      <c r="AQ594" s="14" t="s">
        <v>623</v>
      </c>
    </row>
    <row r="595" spans="1:43" ht="15" x14ac:dyDescent="0.25">
      <c r="A595" s="50" t="s">
        <v>2582</v>
      </c>
      <c r="B595" t="s">
        <v>2583</v>
      </c>
      <c r="C595" s="21" t="s">
        <v>2584</v>
      </c>
      <c r="D595" s="51" t="str">
        <f t="shared" si="28"/>
        <v>Documents\GitHub\Ozon_upload\barcode\amazing pics\Термонаклейка Закат море парусники.pdf</v>
      </c>
      <c r="E595" s="52" t="str">
        <f>CONCATENATE("C:\Users\",username!A200,"\Documents\GitHub\Ozon_upload\DTF_images\tatyana\A4\set11\",C595,".tif")</f>
        <v>C:\Users\maxim\Documents\GitHub\Ozon_upload\DTF_images\tatyana\A4\set11\img_set11_13_vert.tif</v>
      </c>
      <c r="F595" s="21">
        <v>1</v>
      </c>
      <c r="G595" s="21">
        <v>1</v>
      </c>
      <c r="I595" s="54" t="s">
        <v>2585</v>
      </c>
      <c r="K595" s="37" t="s">
        <v>1075</v>
      </c>
      <c r="AM595" s="29"/>
      <c r="AQ595" s="14" t="s">
        <v>623</v>
      </c>
    </row>
    <row r="596" spans="1:43" ht="15" x14ac:dyDescent="0.25">
      <c r="A596" s="50" t="s">
        <v>2586</v>
      </c>
      <c r="B596" t="s">
        <v>2587</v>
      </c>
      <c r="C596" s="21" t="s">
        <v>2588</v>
      </c>
      <c r="D596" s="51" t="str">
        <f t="shared" si="28"/>
        <v>Documents\GitHub\Ozon_upload\barcode\amazing pics\Термонаклейка Девушка с зонтом из цветов.pdf</v>
      </c>
      <c r="E596" s="52" t="str">
        <f>CONCATENATE("C:\Users\",username!A201,"\Documents\GitHub\Ozon_upload\DTF_images\tatyana\A4\set11\",C596,".tif")</f>
        <v>C:\Users\maxim\Documents\GitHub\Ozon_upload\DTF_images\tatyana\A4\set11\img_set11_14_vert.tif</v>
      </c>
      <c r="F596" s="21">
        <v>1</v>
      </c>
      <c r="G596" s="21">
        <v>1</v>
      </c>
      <c r="I596" s="54" t="s">
        <v>2589</v>
      </c>
      <c r="K596" s="37" t="s">
        <v>1075</v>
      </c>
      <c r="AM596" s="29"/>
      <c r="AQ596" s="14" t="s">
        <v>623</v>
      </c>
    </row>
    <row r="597" spans="1:43" ht="15" x14ac:dyDescent="0.25">
      <c r="A597" s="50" t="s">
        <v>2590</v>
      </c>
      <c r="B597" t="s">
        <v>2591</v>
      </c>
      <c r="C597" s="21" t="s">
        <v>2592</v>
      </c>
      <c r="D597" s="51" t="str">
        <f t="shared" si="28"/>
        <v>Documents\GitHub\Ozon_upload\barcode\amazing pics\Термонаклейка Яркие коты неон арт.pdf</v>
      </c>
      <c r="E597" s="52" t="str">
        <f>CONCATENATE("C:\Users\",username!A202,"\Documents\GitHub\Ozon_upload\DTF_images\tatyana\A4\set11\",C597,".tif")</f>
        <v>C:\Users\maxim\Documents\GitHub\Ozon_upload\DTF_images\tatyana\A4\set11\img_set11_15_vert.tif</v>
      </c>
      <c r="F597" s="21">
        <v>1</v>
      </c>
      <c r="G597" s="21">
        <v>1</v>
      </c>
      <c r="I597" s="54" t="s">
        <v>2593</v>
      </c>
      <c r="K597" s="37" t="s">
        <v>1075</v>
      </c>
      <c r="AM597" s="29"/>
      <c r="AQ597" s="14" t="s">
        <v>623</v>
      </c>
    </row>
    <row r="598" spans="1:43" ht="15" x14ac:dyDescent="0.25">
      <c r="A598" s="50" t="s">
        <v>2594</v>
      </c>
      <c r="B598" t="s">
        <v>2595</v>
      </c>
      <c r="C598" s="21" t="s">
        <v>2596</v>
      </c>
      <c r="D598" s="51" t="str">
        <f t="shared" si="28"/>
        <v>Documents\GitHub\Ozon_upload\barcode\amazing pics\Термонаклейка Глаз и красные розы.pdf</v>
      </c>
      <c r="E598" s="52" t="str">
        <f>CONCATENATE("C:\Users\",username!A203,"\Documents\GitHub\Ozon_upload\DTF_images\tatyana\A4\set11\",C598,".tif")</f>
        <v>C:\Users\maxim\Documents\GitHub\Ozon_upload\DTF_images\tatyana\A4\set11\img_set11_16_vert.tif</v>
      </c>
      <c r="F598" s="21">
        <v>1</v>
      </c>
      <c r="G598" s="21">
        <v>1</v>
      </c>
      <c r="I598" s="54" t="s">
        <v>2597</v>
      </c>
      <c r="K598" s="37" t="s">
        <v>1075</v>
      </c>
      <c r="AM598" s="29"/>
      <c r="AQ598" s="14" t="s">
        <v>623</v>
      </c>
    </row>
    <row r="599" spans="1:43" ht="15" x14ac:dyDescent="0.25">
      <c r="A599" s="50" t="s">
        <v>2598</v>
      </c>
      <c r="B599" t="s">
        <v>2599</v>
      </c>
      <c r="C599" s="21" t="s">
        <v>2600</v>
      </c>
      <c r="D599" s="51" t="str">
        <f t="shared" si="28"/>
        <v>Documents\GitHub\Ozon_upload\barcode\amazing pics\Термонаклейка Девушка с букетом роз у моря.pdf</v>
      </c>
      <c r="E599" s="52" t="str">
        <f>CONCATENATE("C:\Users\",username!A204,"\Documents\GitHub\Ozon_upload\DTF_images\tatyana\A4\set11\",C599,".tif")</f>
        <v>C:\Users\maxim\Documents\GitHub\Ozon_upload\DTF_images\tatyana\A4\set11\img_set11_17_vert.tif</v>
      </c>
      <c r="F599" s="21">
        <v>1</v>
      </c>
      <c r="G599" s="21">
        <v>1</v>
      </c>
      <c r="I599" s="54" t="s">
        <v>2601</v>
      </c>
      <c r="K599" s="37" t="s">
        <v>1075</v>
      </c>
      <c r="AM599" s="29"/>
      <c r="AQ599" s="14" t="s">
        <v>623</v>
      </c>
    </row>
    <row r="600" spans="1:43" ht="15" x14ac:dyDescent="0.25">
      <c r="A600" s="50" t="s">
        <v>2602</v>
      </c>
      <c r="B600" t="s">
        <v>2603</v>
      </c>
      <c r="C600" s="21" t="s">
        <v>2604</v>
      </c>
      <c r="D600" s="51" t="str">
        <f t="shared" si="28"/>
        <v>Documents\GitHub\Ozon_upload\barcode\amazing pics\Термонаклейка Девушка и красные маки.pdf</v>
      </c>
      <c r="E600" s="52" t="str">
        <f>CONCATENATE("C:\Users\",username!A205,"\Documents\GitHub\Ozon_upload\DTF_images\tatyana\A4\set11\",C600,".tif")</f>
        <v>C:\Users\maxim\Documents\GitHub\Ozon_upload\DTF_images\tatyana\A4\set11\img_set11_18_vert.tif</v>
      </c>
      <c r="F600" s="21">
        <v>1</v>
      </c>
      <c r="G600" s="21">
        <v>1</v>
      </c>
      <c r="I600" s="54" t="s">
        <v>2605</v>
      </c>
      <c r="K600" s="37" t="s">
        <v>1075</v>
      </c>
      <c r="AM600" s="29"/>
      <c r="AQ600" s="14" t="s">
        <v>623</v>
      </c>
    </row>
    <row r="601" spans="1:43" ht="15" x14ac:dyDescent="0.25">
      <c r="A601" s="50" t="s">
        <v>2606</v>
      </c>
      <c r="B601" t="s">
        <v>2607</v>
      </c>
      <c r="C601" s="21" t="s">
        <v>2608</v>
      </c>
      <c r="D601" s="51" t="str">
        <f t="shared" si="28"/>
        <v>Documents\GitHub\Ozon_upload\barcode\amazing pics\Термонаклейка Девушка с конем из цветов.pdf</v>
      </c>
      <c r="E601" s="52" t="str">
        <f>CONCATENATE("C:\Users\",username!A206,"\Documents\GitHub\Ozon_upload\DTF_images\tatyana\A4\set11\",C601,".tif")</f>
        <v>C:\Users\maxim\Documents\GitHub\Ozon_upload\DTF_images\tatyana\A4\set11\img_set11_19_vert.tif</v>
      </c>
      <c r="F601" s="21">
        <v>1</v>
      </c>
      <c r="G601" s="21">
        <v>1</v>
      </c>
      <c r="I601" s="54" t="s">
        <v>2609</v>
      </c>
      <c r="K601" s="37" t="s">
        <v>1075</v>
      </c>
      <c r="AM601" s="29"/>
      <c r="AQ601" s="14" t="s">
        <v>623</v>
      </c>
    </row>
    <row r="602" spans="1:43" ht="15" x14ac:dyDescent="0.25">
      <c r="A602" s="50" t="s">
        <v>2610</v>
      </c>
      <c r="B602" t="s">
        <v>2611</v>
      </c>
      <c r="C602" s="21" t="s">
        <v>2612</v>
      </c>
      <c r="D602" s="51" t="str">
        <f t="shared" si="28"/>
        <v>Documents\GitHub\Ozon_upload\barcode\amazing pics\Термонаклейка Мистический глаз солнце.pdf</v>
      </c>
      <c r="E602" s="52" t="str">
        <f>CONCATENATE("C:\Users\",username!A207,"\Documents\GitHub\Ozon_upload\DTF_images\tatyana\A4\set11\",C602,".tif")</f>
        <v>C:\Users\maxim\Documents\GitHub\Ozon_upload\DTF_images\tatyana\A4\set11\img_set11_20_vert.tif</v>
      </c>
      <c r="F602" s="21">
        <v>1</v>
      </c>
      <c r="G602" s="21">
        <v>1</v>
      </c>
      <c r="I602" s="54" t="s">
        <v>2613</v>
      </c>
      <c r="K602" s="37" t="s">
        <v>1075</v>
      </c>
      <c r="AM602" s="29"/>
      <c r="AQ602" s="14" t="s">
        <v>623</v>
      </c>
    </row>
    <row r="603" spans="1:43" ht="15" x14ac:dyDescent="0.25">
      <c r="A603" s="50" t="s">
        <v>2614</v>
      </c>
      <c r="B603" t="s">
        <v>2615</v>
      </c>
      <c r="C603" s="21" t="s">
        <v>2616</v>
      </c>
      <c r="D603" s="51" t="str">
        <f t="shared" si="28"/>
        <v>Documents\GitHub\Ozon_upload\barcode\amazing pics\Термонаклейка Кот в ярких красках.pdf</v>
      </c>
      <c r="E603" s="52" t="str">
        <f>CONCATENATE("C:\Users\",username!A208,"\Documents\GitHub\Ozon_upload\DTF_images\tatyana\A4\set11\",C603,".tif")</f>
        <v>C:\Users\maxim\Documents\GitHub\Ozon_upload\DTF_images\tatyana\A4\set11\img_set11_21_vert.tif</v>
      </c>
      <c r="F603" s="21">
        <v>1</v>
      </c>
      <c r="G603" s="21">
        <v>1</v>
      </c>
      <c r="I603" s="54" t="s">
        <v>2617</v>
      </c>
      <c r="K603" s="37" t="s">
        <v>1075</v>
      </c>
      <c r="AM603" s="29"/>
      <c r="AQ603" s="14" t="s">
        <v>623</v>
      </c>
    </row>
    <row r="604" spans="1:43" ht="15" x14ac:dyDescent="0.25">
      <c r="A604" s="50" t="s">
        <v>2618</v>
      </c>
      <c r="B604" t="s">
        <v>2619</v>
      </c>
      <c r="C604" s="21" t="s">
        <v>2620</v>
      </c>
      <c r="D604" s="51" t="str">
        <f t="shared" si="28"/>
        <v>Documents\GitHub\Ozon_upload\barcode\amazing pics\Термонаклейка Космический кот и планета.pdf</v>
      </c>
      <c r="E604" s="52" t="str">
        <f>CONCATENATE("C:\Users\",username!A209,"\Documents\GitHub\Ozon_upload\DTF_images\tatyana\A4\set11\",C604,".tif")</f>
        <v>C:\Users\maxim\Documents\GitHub\Ozon_upload\DTF_images\tatyana\A4\set11\img_set11_22_vert.tif</v>
      </c>
      <c r="F604" s="21">
        <v>1</v>
      </c>
      <c r="G604" s="21">
        <v>1</v>
      </c>
      <c r="I604" s="54" t="s">
        <v>2621</v>
      </c>
      <c r="K604" s="37" t="s">
        <v>1075</v>
      </c>
      <c r="AM604" s="29"/>
      <c r="AQ604" s="14" t="s">
        <v>623</v>
      </c>
    </row>
    <row r="605" spans="1:43" ht="15" x14ac:dyDescent="0.25">
      <c r="A605" s="50" t="s">
        <v>2622</v>
      </c>
      <c r="B605" t="s">
        <v>2623</v>
      </c>
      <c r="C605" s="21" t="s">
        <v>2624</v>
      </c>
      <c r="D605" s="51" t="str">
        <f t="shared" si="28"/>
        <v>Documents\GitHub\Ozon_upload\barcode\amazing pics\Термонаклейка Милый кот с раменом.pdf</v>
      </c>
      <c r="E605" s="52" t="str">
        <f>CONCATENATE("C:\Users\",username!A210,"\Documents\GitHub\Ozon_upload\DTF_images\tatyana\A4\set11\",C605,".tif")</f>
        <v>C:\Users\maxim\Documents\GitHub\Ozon_upload\DTF_images\tatyana\A4\set11\img_set11_23_horiz.tif</v>
      </c>
      <c r="F605" s="21">
        <v>0</v>
      </c>
      <c r="G605" s="21">
        <v>1</v>
      </c>
      <c r="I605" s="54" t="s">
        <v>2625</v>
      </c>
      <c r="K605" s="37" t="s">
        <v>1075</v>
      </c>
      <c r="AM605" s="29"/>
      <c r="AQ605" s="14" t="s">
        <v>623</v>
      </c>
    </row>
    <row r="606" spans="1:43" ht="15" x14ac:dyDescent="0.25">
      <c r="A606" s="50" t="s">
        <v>2626</v>
      </c>
      <c r="B606" t="s">
        <v>2627</v>
      </c>
      <c r="C606" s="21" t="s">
        <v>2628</v>
      </c>
      <c r="D606" s="51" t="str">
        <f t="shared" si="28"/>
        <v>Documents\GitHub\Ozon_upload\barcode\amazing pics\Термонаклейка Манэки-неко кот удачи.pdf</v>
      </c>
      <c r="E606" s="52" t="str">
        <f>CONCATENATE("C:\Users\",username!A211,"\Documents\GitHub\Ozon_upload\DTF_images\tatyana\A4\set11\",C606,".tif")</f>
        <v>C:\Users\maxim\Documents\GitHub\Ozon_upload\DTF_images\tatyana\A4\set11\img_set11_24_vert.tif</v>
      </c>
      <c r="F606" s="21">
        <v>1</v>
      </c>
      <c r="G606" s="21">
        <v>1</v>
      </c>
      <c r="I606" s="54" t="s">
        <v>2629</v>
      </c>
      <c r="K606" s="37" t="s">
        <v>1075</v>
      </c>
      <c r="AM606" s="29"/>
      <c r="AQ606" s="14" t="s">
        <v>623</v>
      </c>
    </row>
    <row r="607" spans="1:43" ht="15" x14ac:dyDescent="0.25">
      <c r="A607" s="50" t="s">
        <v>2630</v>
      </c>
      <c r="B607" t="s">
        <v>2631</v>
      </c>
      <c r="C607" s="21" t="s">
        <v>2632</v>
      </c>
      <c r="D607" s="51" t="str">
        <f t="shared" si="28"/>
        <v>Documents\GitHub\Ozon_upload\barcode\amazing pics\Термонаклейка Аниме девушка каваи стиль.pdf</v>
      </c>
      <c r="E607" s="52" t="str">
        <f>CONCATENATE("C:\Users\",username!A212,"\Documents\GitHub\Ozon_upload\DTF_images\tatyana\A4\set11\",C607,".tif")</f>
        <v>C:\Users\maxim\Documents\GitHub\Ozon_upload\DTF_images\tatyana\A4\set11\img_set11_25_vert.tif</v>
      </c>
      <c r="F607" s="21">
        <v>1</v>
      </c>
      <c r="G607" s="21">
        <v>1</v>
      </c>
      <c r="I607" s="54" t="s">
        <v>2633</v>
      </c>
      <c r="K607" s="37" t="s">
        <v>1075</v>
      </c>
      <c r="AM607" s="29"/>
      <c r="AQ607" s="14" t="s">
        <v>623</v>
      </c>
    </row>
    <row r="608" spans="1:43" ht="15" x14ac:dyDescent="0.25">
      <c r="A608" s="50" t="s">
        <v>2634</v>
      </c>
      <c r="B608" t="s">
        <v>2635</v>
      </c>
      <c r="C608" s="21" t="s">
        <v>2636</v>
      </c>
      <c r="D608" s="51" t="str">
        <f t="shared" si="28"/>
        <v>Documents\GitHub\Ozon_upload\barcode\amazing pics\Термонаклейка Кот самурай с катаной.pdf</v>
      </c>
      <c r="E608" s="52" t="str">
        <f>CONCATENATE("C:\Users\",username!A213,"\Documents\GitHub\Ozon_upload\DTF_images\tatyana\A4\set11\",C608,".tif")</f>
        <v>C:\Users\maxim\Documents\GitHub\Ozon_upload\DTF_images\tatyana\A4\set11\img_set11_26_vert.tif</v>
      </c>
      <c r="F608" s="21">
        <v>1</v>
      </c>
      <c r="G608" s="21">
        <v>1</v>
      </c>
      <c r="I608" s="54" t="s">
        <v>2637</v>
      </c>
      <c r="K608" s="37" t="s">
        <v>1075</v>
      </c>
      <c r="AM608" s="29"/>
      <c r="AQ608" s="14" t="s">
        <v>623</v>
      </c>
    </row>
    <row r="609" spans="1:43" ht="15" x14ac:dyDescent="0.25">
      <c r="A609" s="50" t="s">
        <v>2638</v>
      </c>
      <c r="B609" t="s">
        <v>2639</v>
      </c>
      <c r="C609" s="21" t="s">
        <v>2640</v>
      </c>
      <c r="D609" s="51" t="str">
        <f t="shared" si="28"/>
        <v>Documents\GitHub\Ozon_upload\barcode\amazing pics\Термонаклейка Медведь узоры арт.pdf</v>
      </c>
      <c r="E609" s="52" t="str">
        <f>CONCATENATE("C:\Users\",username!A214,"\Documents\GitHub\Ozon_upload\DTF_images\tatyana\A4\set11\",C609,".tif")</f>
        <v>C:\Users\maxim\Documents\GitHub\Ozon_upload\DTF_images\tatyana\A4\set11\img_set11_27_vert.tif</v>
      </c>
      <c r="F609" s="21">
        <v>1</v>
      </c>
      <c r="G609" s="21">
        <v>1</v>
      </c>
      <c r="I609" s="54" t="s">
        <v>2641</v>
      </c>
      <c r="K609" s="37" t="s">
        <v>1075</v>
      </c>
      <c r="AM609" s="29"/>
      <c r="AQ609" s="14" t="s">
        <v>623</v>
      </c>
    </row>
    <row r="610" spans="1:43" ht="15" x14ac:dyDescent="0.25">
      <c r="A610" s="50" t="s">
        <v>2642</v>
      </c>
      <c r="B610" t="s">
        <v>2643</v>
      </c>
      <c r="C610" s="21" t="s">
        <v>2644</v>
      </c>
      <c r="D610" s="51" t="str">
        <f t="shared" si="28"/>
        <v>Documents\GitHub\Ozon_upload\barcode\amazing pics\Термонаклейка Черный кот ест лапшу.pdf</v>
      </c>
      <c r="E610" s="52" t="str">
        <f>CONCATENATE("C:\Users\",username!A215,"\Documents\GitHub\Ozon_upload\DTF_images\tatyana\A4\set11\",C610,".tif")</f>
        <v>C:\Users\maxim\Documents\GitHub\Ozon_upload\DTF_images\tatyana\A4\set11\img_set11_28_vert.tif</v>
      </c>
      <c r="F610" s="21">
        <v>1</v>
      </c>
      <c r="G610" s="21">
        <v>1</v>
      </c>
      <c r="I610" s="54" t="s">
        <v>2645</v>
      </c>
      <c r="K610" s="37" t="s">
        <v>1075</v>
      </c>
      <c r="AM610" s="29"/>
      <c r="AQ610" s="14" t="s">
        <v>623</v>
      </c>
    </row>
    <row r="611" spans="1:43" ht="15" x14ac:dyDescent="0.25">
      <c r="A611" s="50" t="s">
        <v>2646</v>
      </c>
      <c r="B611" t="s">
        <v>2647</v>
      </c>
      <c r="C611" s="21" t="s">
        <v>2648</v>
      </c>
      <c r="D611" s="51" t="str">
        <f t="shared" si="28"/>
        <v>Documents\GitHub\Ozon_upload\barcode\amazing pics\Термонаклейка Неоновая пантера арт.pdf</v>
      </c>
      <c r="E611" s="52" t="str">
        <f>CONCATENATE("C:\Users\",username!A216,"\Documents\GitHub\Ozon_upload\DTF_images\tatyana\A4\set11\",C611,".tif")</f>
        <v>C:\Users\maxim\Documents\GitHub\Ozon_upload\DTF_images\tatyana\A4\set11\img_set11_29_vert.tif</v>
      </c>
      <c r="F611" s="21">
        <v>1</v>
      </c>
      <c r="G611" s="21">
        <v>1</v>
      </c>
      <c r="I611" s="54" t="s">
        <v>2649</v>
      </c>
      <c r="K611" s="37" t="s">
        <v>1075</v>
      </c>
      <c r="AM611" s="29"/>
      <c r="AQ611" s="14" t="s">
        <v>623</v>
      </c>
    </row>
    <row r="612" spans="1:43" ht="15" x14ac:dyDescent="0.25">
      <c r="A612" s="50" t="s">
        <v>2650</v>
      </c>
      <c r="B612" t="s">
        <v>2651</v>
      </c>
      <c r="C612" s="21" t="s">
        <v>2652</v>
      </c>
      <c r="D612" s="51" t="str">
        <f t="shared" si="28"/>
        <v>Documents\GitHub\Ozon_upload\barcode\amazing pics\Термонаклейка Заяц неон арт персонаж.pdf</v>
      </c>
      <c r="E612" s="52" t="str">
        <f>CONCATENATE("C:\Users\",username!A217,"\Documents\GitHub\Ozon_upload\DTF_images\tatyana\A4\set11\",C612,".tif")</f>
        <v>C:\Users\maxim\Documents\GitHub\Ozon_upload\DTF_images\tatyana\A4\set11\img_set11_30_vert.tif</v>
      </c>
      <c r="F612" s="21">
        <v>1</v>
      </c>
      <c r="G612" s="21">
        <v>1</v>
      </c>
      <c r="I612" s="54" t="s">
        <v>2653</v>
      </c>
      <c r="K612" s="37" t="s">
        <v>1075</v>
      </c>
      <c r="AM612" s="29"/>
      <c r="AQ612" s="14" t="s">
        <v>623</v>
      </c>
    </row>
    <row r="613" spans="1:43" ht="15" x14ac:dyDescent="0.25">
      <c r="A613" s="50" t="s">
        <v>2654</v>
      </c>
      <c r="B613" t="s">
        <v>2655</v>
      </c>
      <c r="C613" s="21" t="s">
        <v>2656</v>
      </c>
      <c r="D613" s="51" t="str">
        <f t="shared" si="28"/>
        <v>Documents\GitHub\Ozon_upload\barcode\amazing pics\Термонаклейка Девушка неон космос.pdf</v>
      </c>
      <c r="E613" s="52" t="str">
        <f>CONCATENATE("C:\Users\",username!A218,"\Documents\GitHub\Ozon_upload\DTF_images\tatyana\A4\set8\",C613,".tif")</f>
        <v>C:\Users\maxim\Documents\GitHub\Ozon_upload\DTF_images\tatyana\A4\set8\img_set8_1_vert.tif</v>
      </c>
      <c r="F613" s="21">
        <v>1</v>
      </c>
      <c r="G613" s="21">
        <v>1</v>
      </c>
      <c r="I613" s="54" t="s">
        <v>2657</v>
      </c>
      <c r="K613" s="37" t="s">
        <v>1075</v>
      </c>
      <c r="AM613" s="29"/>
      <c r="AQ613" s="14" t="s">
        <v>623</v>
      </c>
    </row>
    <row r="614" spans="1:43" ht="15" x14ac:dyDescent="0.25">
      <c r="A614" s="34" t="s">
        <v>2658</v>
      </c>
      <c r="B614" t="s">
        <v>2659</v>
      </c>
      <c r="C614" s="21" t="s">
        <v>2660</v>
      </c>
      <c r="D614" s="51" t="str">
        <f t="shared" si="28"/>
        <v>Documents\GitHub\Ozon_upload\barcode\amazing pics\Термонаклейка Волшебная шляпа Гарри Поттер.pdf</v>
      </c>
      <c r="E614" s="52" t="str">
        <f>CONCATENATE("C:\Users\",username!A219,"\Documents\GitHub\Ozon_upload\DTF_images\tatyana\A4\set8\",C614,".tif")</f>
        <v>C:\Users\maxim\Documents\GitHub\Ozon_upload\DTF_images\tatyana\A4\set8\img_set8_2_vert.tif</v>
      </c>
      <c r="F614" s="21">
        <v>1</v>
      </c>
      <c r="G614" s="21">
        <v>1</v>
      </c>
      <c r="I614" s="54" t="s">
        <v>2661</v>
      </c>
      <c r="K614" s="37" t="s">
        <v>1075</v>
      </c>
      <c r="AM614" s="29"/>
      <c r="AQ614" s="14" t="s">
        <v>623</v>
      </c>
    </row>
    <row r="615" spans="1:43" ht="15" x14ac:dyDescent="0.25">
      <c r="A615" s="50" t="s">
        <v>2662</v>
      </c>
      <c r="B615" t="s">
        <v>2663</v>
      </c>
      <c r="C615" s="21" t="s">
        <v>2664</v>
      </c>
      <c r="D615" s="51" t="str">
        <f t="shared" si="28"/>
        <v>Documents\GitHub\Ozon_upload\barcode\amazing pics\Термонаклейка Леопард в траве арт.pdf</v>
      </c>
      <c r="E615" s="52" t="str">
        <f>CONCATENATE("C:\Users\",username!A220,"\Documents\GitHub\Ozon_upload\DTF_images\tatyana\A4\set8\",C615,".tif")</f>
        <v>C:\Users\maxim\Documents\GitHub\Ozon_upload\DTF_images\tatyana\A4\set8\img_set8_3_vert.tif</v>
      </c>
      <c r="F615" s="21">
        <v>1</v>
      </c>
      <c r="G615" s="21">
        <v>1</v>
      </c>
      <c r="I615" s="54" t="s">
        <v>2665</v>
      </c>
      <c r="K615" s="37" t="s">
        <v>1075</v>
      </c>
      <c r="AM615" s="29"/>
      <c r="AQ615" s="14" t="s">
        <v>623</v>
      </c>
    </row>
    <row r="616" spans="1:43" ht="15" x14ac:dyDescent="0.25">
      <c r="A616" s="34" t="s">
        <v>2666</v>
      </c>
      <c r="B616" t="s">
        <v>2667</v>
      </c>
      <c r="C616" s="21" t="s">
        <v>2668</v>
      </c>
      <c r="D616" s="51" t="str">
        <f t="shared" si="28"/>
        <v>Documents\GitHub\Ozon_upload\barcode\amazing pics\Термонаклейка Прикосновение рук Сотворения Адама 4.pdf</v>
      </c>
      <c r="E616" s="52" t="str">
        <f>CONCATENATE("C:\Users\",username!A221,"\Documents\GitHub\Ozon_upload\DTF_images\tatyana\A4\set8\",C616,".tif")</f>
        <v>C:\Users\maxim\Documents\GitHub\Ozon_upload\DTF_images\tatyana\A4\set8\img_set8_4_vert.tif</v>
      </c>
      <c r="F616" s="21">
        <v>1</v>
      </c>
      <c r="G616" s="21">
        <v>1</v>
      </c>
      <c r="I616" s="54" t="s">
        <v>2669</v>
      </c>
      <c r="K616" s="37" t="s">
        <v>1075</v>
      </c>
      <c r="AM616" s="29"/>
      <c r="AQ616" s="14" t="s">
        <v>623</v>
      </c>
    </row>
    <row r="617" spans="1:43" ht="15" x14ac:dyDescent="0.25">
      <c r="A617" s="34" t="s">
        <v>2670</v>
      </c>
      <c r="B617" t="s">
        <v>2671</v>
      </c>
      <c r="C617" s="21" t="s">
        <v>2672</v>
      </c>
      <c r="D617" s="51" t="str">
        <f t="shared" si="28"/>
        <v>Documents\GitHub\Ozon_upload\barcode\amazing pics\Термонаклейка Сова волшебник Гарри Поттер.pdf</v>
      </c>
      <c r="E617" s="52" t="str">
        <f>CONCATENATE("C:\Users\",username!A222,"\Documents\GitHub\Ozon_upload\DTF_images\tatyana\A4\set8\",C617,".tif")</f>
        <v>C:\Users\maxim\Documents\GitHub\Ozon_upload\DTF_images\tatyana\A4\set8\img_set8_5_vert.tif</v>
      </c>
      <c r="F617" s="21">
        <v>1</v>
      </c>
      <c r="G617" s="21">
        <v>1</v>
      </c>
      <c r="I617" s="54" t="s">
        <v>2673</v>
      </c>
      <c r="K617" s="37" t="s">
        <v>1075</v>
      </c>
      <c r="AM617" s="29"/>
      <c r="AQ617" s="14" t="s">
        <v>623</v>
      </c>
    </row>
    <row r="618" spans="1:43" ht="15" x14ac:dyDescent="0.25">
      <c r="A618" s="50" t="s">
        <v>2674</v>
      </c>
      <c r="B618" t="s">
        <v>2675</v>
      </c>
      <c r="C618" s="21" t="s">
        <v>2676</v>
      </c>
      <c r="D618" s="51" t="str">
        <f t="shared" si="28"/>
        <v>Documents\GitHub\Ozon_upload\barcode\amazing pics\Термонаклейка Черный котик лапки.pdf</v>
      </c>
      <c r="E618" s="52" t="str">
        <f>CONCATENATE("C:\Users\",username!A223,"\Documents\GitHub\Ozon_upload\DTF_images\tatyana\A4\set8\",C618,".tif")</f>
        <v>C:\Users\maxim\Documents\GitHub\Ozon_upload\DTF_images\tatyana\A4\set8\img_set8_7_vert.tif</v>
      </c>
      <c r="F618" s="21">
        <v>1</v>
      </c>
      <c r="G618" s="21">
        <v>1</v>
      </c>
      <c r="I618" s="54" t="s">
        <v>2677</v>
      </c>
      <c r="K618" s="37" t="s">
        <v>1075</v>
      </c>
      <c r="AM618" s="29"/>
      <c r="AQ618" s="14" t="s">
        <v>623</v>
      </c>
    </row>
    <row r="619" spans="1:43" ht="15" x14ac:dyDescent="0.25">
      <c r="A619" s="34" t="s">
        <v>2678</v>
      </c>
      <c r="B619" t="s">
        <v>2679</v>
      </c>
      <c r="C619" s="21" t="s">
        <v>2680</v>
      </c>
      <c r="D619" s="51" t="str">
        <f t="shared" si="28"/>
        <v>Documents\GitHub\Ozon_upload\barcode\amazing pics\Термонаклейка Адам и Ева яблоко змея.pdf</v>
      </c>
      <c r="E619" s="52" t="str">
        <f>CONCATENATE("C:\Users\",username!A224,"\Documents\GitHub\Ozon_upload\DTF_images\tatyana\A4\set8\",C619,".tif")</f>
        <v>C:\Users\maxim\Documents\GitHub\Ozon_upload\DTF_images\tatyana\A4\set8\img_set8_8_vert.tif</v>
      </c>
      <c r="F619" s="21">
        <v>1</v>
      </c>
      <c r="G619" s="21">
        <v>1</v>
      </c>
      <c r="I619" s="54" t="s">
        <v>2681</v>
      </c>
      <c r="K619" s="37" t="s">
        <v>1075</v>
      </c>
      <c r="AM619" s="29"/>
      <c r="AQ619" s="14" t="s">
        <v>623</v>
      </c>
    </row>
    <row r="620" spans="1:43" ht="15" x14ac:dyDescent="0.25">
      <c r="A620" s="50" t="s">
        <v>2682</v>
      </c>
      <c r="B620" t="s">
        <v>2683</v>
      </c>
      <c r="C620" s="21" t="s">
        <v>2684</v>
      </c>
      <c r="D620" s="51" t="str">
        <f t="shared" si="28"/>
        <v>Documents\GitHub\Ozon_upload\barcode\amazing pics\Термонаклейка Черный кот с языком.pdf</v>
      </c>
      <c r="E620" s="52" t="str">
        <f>CONCATENATE("C:\Users\",username!A225,"\Documents\GitHub\Ozon_upload\DTF_images\tatyana\A4\set8\",C620,".tif")</f>
        <v>C:\Users\maxim\Documents\GitHub\Ozon_upload\DTF_images\tatyana\A4\set8\img_set8_9_vert.tif</v>
      </c>
      <c r="F620" s="21">
        <v>1</v>
      </c>
      <c r="G620" s="21">
        <v>1</v>
      </c>
      <c r="I620" s="54" t="s">
        <v>2685</v>
      </c>
      <c r="K620" s="37" t="s">
        <v>1075</v>
      </c>
      <c r="AM620" s="29"/>
      <c r="AQ620" s="14" t="s">
        <v>623</v>
      </c>
    </row>
    <row r="621" spans="1:43" ht="15" x14ac:dyDescent="0.25">
      <c r="A621" s="50" t="s">
        <v>2686</v>
      </c>
      <c r="B621" t="s">
        <v>2687</v>
      </c>
      <c r="C621" s="21" t="s">
        <v>2688</v>
      </c>
      <c r="D621" s="51" t="str">
        <f t="shared" si="28"/>
        <v>Documents\GitHub\Ozon_upload\barcode\amazing pics\Термонаклейка Маленький принц и лис звезды.pdf</v>
      </c>
      <c r="E621" s="52" t="str">
        <f>CONCATENATE("C:\Users\",username!A226,"\Documents\GitHub\Ozon_upload\DTF_images\tatyana\A4\set8\",C621,".tif")</f>
        <v>C:\Users\maxim\Documents\GitHub\Ozon_upload\DTF_images\tatyana\A4\set8\img_set8_10_vert.tif</v>
      </c>
      <c r="F621" s="21">
        <v>1</v>
      </c>
      <c r="G621" s="21">
        <v>1</v>
      </c>
      <c r="I621" s="54" t="s">
        <v>2689</v>
      </c>
      <c r="K621" s="37" t="s">
        <v>1075</v>
      </c>
      <c r="AM621" s="29"/>
      <c r="AQ621" s="14" t="s">
        <v>623</v>
      </c>
    </row>
    <row r="622" spans="1:43" ht="15" x14ac:dyDescent="0.25">
      <c r="A622" s="50" t="s">
        <v>2690</v>
      </c>
      <c r="B622" t="s">
        <v>2691</v>
      </c>
      <c r="C622" s="21" t="s">
        <v>2692</v>
      </c>
      <c r="D622" s="51" t="str">
        <f t="shared" si="28"/>
        <v>Documents\GitHub\Ozon_upload\barcode\amazing pics\Термонаклейка Сердце в руках арт.pdf</v>
      </c>
      <c r="E622" s="52" t="str">
        <f>CONCATENATE("C:\Users\",username!A227,"\Documents\GitHub\Ozon_upload\DTF_images\tatyana\A4\set8\",C622,".tif")</f>
        <v>C:\Users\maxim\Documents\GitHub\Ozon_upload\DTF_images\tatyana\A4\set8\img_set8_11_vert.tif</v>
      </c>
      <c r="F622" s="21">
        <v>1</v>
      </c>
      <c r="G622" s="21">
        <v>1</v>
      </c>
      <c r="I622" s="54" t="s">
        <v>2693</v>
      </c>
      <c r="K622" s="37" t="s">
        <v>1075</v>
      </c>
      <c r="AM622" s="29"/>
      <c r="AQ622" s="14" t="s">
        <v>623</v>
      </c>
    </row>
    <row r="623" spans="1:43" ht="15" x14ac:dyDescent="0.25">
      <c r="A623" s="50" t="s">
        <v>2694</v>
      </c>
      <c r="B623" t="s">
        <v>2695</v>
      </c>
      <c r="C623" s="21" t="s">
        <v>2696</v>
      </c>
      <c r="D623" s="51" t="str">
        <f t="shared" si="28"/>
        <v>Documents\GitHub\Ozon_upload\barcode\amazing pics\Термонаклейка Do What You Love арт.pdf</v>
      </c>
      <c r="E623" s="52" t="str">
        <f>CONCATENATE("C:\Users\",username!A228,"\Documents\GitHub\Ozon_upload\DTF_images\tatyana\A4\set8\",C623,".tif")</f>
        <v>C:\Users\maxim\Documents\GitHub\Ozon_upload\DTF_images\tatyana\A4\set8\img_set8_12_vert.tif</v>
      </c>
      <c r="F623" s="21">
        <v>1</v>
      </c>
      <c r="G623" s="21">
        <v>1</v>
      </c>
      <c r="I623" s="54" t="s">
        <v>2697</v>
      </c>
      <c r="K623" s="37" t="s">
        <v>1075</v>
      </c>
      <c r="AM623" s="29"/>
      <c r="AQ623" s="14" t="s">
        <v>623</v>
      </c>
    </row>
    <row r="624" spans="1:43" ht="15" x14ac:dyDescent="0.25">
      <c r="A624" s="50" t="s">
        <v>2698</v>
      </c>
      <c r="B624" t="s">
        <v>2699</v>
      </c>
      <c r="C624" s="21" t="s">
        <v>2700</v>
      </c>
      <c r="D624" s="51" t="str">
        <f t="shared" si="28"/>
        <v>Documents\GitHub\Ozon_upload\barcode\amazing pics\Термонаклейка Геометрическая собака.pdf</v>
      </c>
      <c r="E624" s="52" t="str">
        <f>CONCATENATE("C:\Users\",username!A229,"\Documents\GitHub\Ozon_upload\DTF_images\tatyana\A4\set8\",C624,".tif")</f>
        <v>C:\Users\maxim\Documents\GitHub\Ozon_upload\DTF_images\tatyana\A4\set8\img_set8_13_vert.tif</v>
      </c>
      <c r="F624" s="21">
        <v>1</v>
      </c>
      <c r="G624" s="21">
        <v>1</v>
      </c>
      <c r="I624" s="54" t="s">
        <v>2701</v>
      </c>
      <c r="K624" s="37" t="s">
        <v>1075</v>
      </c>
      <c r="AM624" s="29"/>
      <c r="AQ624" s="14" t="s">
        <v>623</v>
      </c>
    </row>
    <row r="625" spans="1:43" ht="15" x14ac:dyDescent="0.25">
      <c r="A625" s="50" t="s">
        <v>2702</v>
      </c>
      <c r="B625" t="s">
        <v>2703</v>
      </c>
      <c r="C625" s="21" t="s">
        <v>2704</v>
      </c>
      <c r="D625" s="51" t="str">
        <f t="shared" si="28"/>
        <v>Documents\GitHub\Ozon_upload\barcode\amazing pics\Термонаклейка Геометрический заяц.pdf</v>
      </c>
      <c r="E625" s="52" t="str">
        <f>CONCATENATE("C:\Users\",username!A230,"\Documents\GitHub\Ozon_upload\DTF_images\tatyana\A4\set8\",C625,".tif")</f>
        <v>C:\Users\maxim\Documents\GitHub\Ozon_upload\DTF_images\tatyana\A4\set8\img_set8_14_vert.tif</v>
      </c>
      <c r="F625" s="21">
        <v>1</v>
      </c>
      <c r="G625" s="21">
        <v>1</v>
      </c>
      <c r="I625" s="54" t="s">
        <v>2705</v>
      </c>
      <c r="K625" s="37" t="s">
        <v>1075</v>
      </c>
      <c r="AM625" s="29"/>
      <c r="AQ625" s="14" t="s">
        <v>623</v>
      </c>
    </row>
    <row r="626" spans="1:43" ht="15" x14ac:dyDescent="0.25">
      <c r="A626" s="50" t="s">
        <v>2706</v>
      </c>
      <c r="B626" t="s">
        <v>2707</v>
      </c>
      <c r="C626" s="21" t="s">
        <v>2708</v>
      </c>
      <c r="D626" s="51" t="str">
        <f t="shared" si="28"/>
        <v>Documents\GitHub\Ozon_upload\barcode\amazing pics\Термонаклейка Big Girls Don’t Cry.pdf</v>
      </c>
      <c r="E626" s="52" t="str">
        <f>CONCATENATE("C:\Users\",username!A231,"\Documents\GitHub\Ozon_upload\DTF_images\tatyana\A4\set8\",C626,".tif")</f>
        <v>C:\Users\maxim\Documents\GitHub\Ozon_upload\DTF_images\tatyana\A4\set8\img_set8_15_vert.tif</v>
      </c>
      <c r="F626" s="21">
        <v>1</v>
      </c>
      <c r="G626" s="21">
        <v>1</v>
      </c>
      <c r="I626" s="54" t="s">
        <v>2709</v>
      </c>
      <c r="K626" s="37" t="s">
        <v>1075</v>
      </c>
      <c r="AM626" s="29"/>
      <c r="AQ626" s="14" t="s">
        <v>623</v>
      </c>
    </row>
    <row r="627" spans="1:43" ht="15" x14ac:dyDescent="0.25">
      <c r="A627" s="50" t="s">
        <v>2710</v>
      </c>
      <c r="B627" t="s">
        <v>2711</v>
      </c>
      <c r="C627" s="21" t="s">
        <v>2712</v>
      </c>
      <c r="D627" s="51" t="str">
        <f t="shared" si="28"/>
        <v>Documents\GitHub\Ozon_upload\barcode\amazing pics\Термонаклейка Кит в розовых облаках.pdf</v>
      </c>
      <c r="E627" s="52" t="str">
        <f>CONCATENATE("C:\Users\",username!A232,"\Documents\GitHub\Ozon_upload\DTF_images\tatyana\A4\set8\",C627,".tif")</f>
        <v>C:\Users\maxim\Documents\GitHub\Ozon_upload\DTF_images\tatyana\A4\set8\img_set8_16_vert.tif</v>
      </c>
      <c r="F627" s="21">
        <v>1</v>
      </c>
      <c r="G627" s="21">
        <v>1</v>
      </c>
      <c r="I627" s="54" t="s">
        <v>2713</v>
      </c>
      <c r="K627" s="37" t="s">
        <v>1075</v>
      </c>
      <c r="AM627" s="29"/>
      <c r="AQ627" s="14" t="s">
        <v>628</v>
      </c>
    </row>
    <row r="628" spans="1:43" ht="15" x14ac:dyDescent="0.25">
      <c r="A628" s="50" t="s">
        <v>2714</v>
      </c>
      <c r="B628" t="s">
        <v>2715</v>
      </c>
      <c r="C628" s="21" t="s">
        <v>2716</v>
      </c>
      <c r="D628" s="51" t="str">
        <f t="shared" si="28"/>
        <v>Documents\GitHub\Ozon_upload\barcode\amazing pics\Термонаклейка Кот в худи и очках.pdf</v>
      </c>
      <c r="E628" s="52" t="str">
        <f>CONCATENATE("C:\Users\",username!A233,"\Documents\GitHub\Ozon_upload\DTF_images\tatyana\A4\set8\",C628,".tif")</f>
        <v>C:\Users\maxim\Documents\GitHub\Ozon_upload\DTF_images\tatyana\A4\set8\img_set8_17_vert.tif</v>
      </c>
      <c r="F628" s="21">
        <v>1</v>
      </c>
      <c r="G628" s="21">
        <v>1</v>
      </c>
      <c r="I628" s="54" t="s">
        <v>2717</v>
      </c>
      <c r="K628" s="37" t="s">
        <v>1075</v>
      </c>
      <c r="AM628" s="29"/>
      <c r="AQ628" s="14" t="s">
        <v>623</v>
      </c>
    </row>
    <row r="629" spans="1:43" ht="15" x14ac:dyDescent="0.25">
      <c r="A629" s="50" t="s">
        <v>2718</v>
      </c>
      <c r="B629" t="s">
        <v>2719</v>
      </c>
      <c r="C629" s="21" t="s">
        <v>2720</v>
      </c>
      <c r="D629" s="51" t="str">
        <f t="shared" si="28"/>
        <v>Documents\GitHub\Ozon_upload\barcode\amazing pics\Термонаклейка Летающий кит и город.pdf</v>
      </c>
      <c r="E629" s="52" t="str">
        <f>CONCATENATE("C:\Users\",username!A234,"\Documents\GitHub\Ozon_upload\DTF_images\tatyana\A4\set8\",C629,".tif")</f>
        <v>C:\Users\maxim\Documents\GitHub\Ozon_upload\DTF_images\tatyana\A4\set8\img_set8_18_vert.tif</v>
      </c>
      <c r="F629" s="21">
        <v>1</v>
      </c>
      <c r="G629" s="21">
        <v>1</v>
      </c>
      <c r="I629" s="54" t="s">
        <v>2721</v>
      </c>
      <c r="K629" s="37" t="s">
        <v>1075</v>
      </c>
      <c r="AM629" s="29"/>
      <c r="AQ629" s="14" t="s">
        <v>623</v>
      </c>
    </row>
    <row r="630" spans="1:43" ht="15" x14ac:dyDescent="0.25">
      <c r="A630" s="50" t="s">
        <v>2722</v>
      </c>
      <c r="B630" t="s">
        <v>2723</v>
      </c>
      <c r="C630" s="21" t="s">
        <v>2724</v>
      </c>
      <c r="D630" s="51" t="str">
        <f t="shared" si="28"/>
        <v>Documents\GitHub\Ozon_upload\barcode\amazing pics\Термонаклейка Черный кот в цветах вариант2.pdf</v>
      </c>
      <c r="E630" s="52" t="str">
        <f>CONCATENATE("C:\Users\",username!A235,"\Documents\GitHub\Ozon_upload\DTF_images\tatyana\A4\set8\",C630,".tif")</f>
        <v>C:\Users\maxim\Documents\GitHub\Ozon_upload\DTF_images\tatyana\A4\set8\img_set8_19_vert.tif</v>
      </c>
      <c r="F630" s="21">
        <v>1</v>
      </c>
      <c r="G630" s="21">
        <v>1</v>
      </c>
      <c r="I630" s="54" t="s">
        <v>2725</v>
      </c>
      <c r="K630" s="37" t="s">
        <v>1075</v>
      </c>
      <c r="AM630" s="29"/>
      <c r="AQ630" s="14" t="s">
        <v>623</v>
      </c>
    </row>
    <row r="631" spans="1:43" ht="15" x14ac:dyDescent="0.25">
      <c r="A631" s="50" t="s">
        <v>2726</v>
      </c>
      <c r="B631" t="s">
        <v>2727</v>
      </c>
      <c r="C631" s="21" t="s">
        <v>2728</v>
      </c>
      <c r="D631" s="51" t="str">
        <f t="shared" si="28"/>
        <v>Documents\GitHub\Ozon_upload\barcode\amazing pics\Термонаклейка Космос дом и астронавт.pdf</v>
      </c>
      <c r="E631" s="52" t="str">
        <f>CONCATENATE("C:\Users\",username!A236,"\Documents\GitHub\Ozon_upload\DTF_images\tatyana\A4\set8\",C631,".tif")</f>
        <v>C:\Users\maxim\Documents\GitHub\Ozon_upload\DTF_images\tatyana\A4\set8\img_set8_20_vert.tif</v>
      </c>
      <c r="F631" s="21">
        <v>1</v>
      </c>
      <c r="G631" s="21">
        <v>1</v>
      </c>
      <c r="I631" s="54" t="s">
        <v>2729</v>
      </c>
      <c r="K631" s="37" t="s">
        <v>1075</v>
      </c>
      <c r="AM631" s="29"/>
      <c r="AQ631" s="14" t="s">
        <v>623</v>
      </c>
    </row>
    <row r="632" spans="1:43" ht="15" x14ac:dyDescent="0.25">
      <c r="A632" s="50" t="s">
        <v>2730</v>
      </c>
      <c r="B632" t="s">
        <v>2731</v>
      </c>
      <c r="C632" s="21" t="s">
        <v>2732</v>
      </c>
      <c r="D632" s="51" t="str">
        <f t="shared" si="28"/>
        <v>Documents\GitHub\Ozon_upload\barcode\amazing pics\Термонаклейка Самурай девушка кибер.pdf</v>
      </c>
      <c r="E632" s="52" t="str">
        <f>CONCATENATE("C:\Users\",username!A237,"\Documents\GitHub\Ozon_upload\DTF_images\tatyana\A4\set8\",C632,".tif")</f>
        <v>C:\Users\maxim\Documents\GitHub\Ozon_upload\DTF_images\tatyana\A4\set8\img_set8_21_vert.tif</v>
      </c>
      <c r="F632" s="21">
        <v>1</v>
      </c>
      <c r="G632" s="21">
        <v>1</v>
      </c>
      <c r="I632" s="54" t="s">
        <v>2733</v>
      </c>
      <c r="K632" s="37" t="s">
        <v>1075</v>
      </c>
      <c r="AM632" s="29"/>
      <c r="AQ632" s="14" t="s">
        <v>623</v>
      </c>
    </row>
    <row r="633" spans="1:43" ht="15" x14ac:dyDescent="0.25">
      <c r="A633" s="50" t="s">
        <v>2734</v>
      </c>
      <c r="B633" t="s">
        <v>2735</v>
      </c>
      <c r="C633" s="21" t="s">
        <v>2736</v>
      </c>
      <c r="D633" s="51" t="str">
        <f t="shared" si="28"/>
        <v>Documents\GitHub\Ozon_upload\barcode\amazing pics\Термонаклейка Неоновый череп арт.pdf</v>
      </c>
      <c r="E633" s="52" t="str">
        <f>CONCATENATE("C:\Users\",username!A238,"\Documents\GitHub\Ozon_upload\DTF_images\tatyana\A4\set8\",C633,".tif")</f>
        <v>C:\Users\maxim\Documents\GitHub\Ozon_upload\DTF_images\tatyana\A4\set8\img_set8_22_vert.tif</v>
      </c>
      <c r="F633" s="21">
        <v>1</v>
      </c>
      <c r="G633" s="21">
        <v>1</v>
      </c>
      <c r="I633" s="54" t="s">
        <v>2737</v>
      </c>
      <c r="K633" s="37" t="s">
        <v>1075</v>
      </c>
      <c r="AM633" s="29"/>
      <c r="AQ633" s="14" t="s">
        <v>623</v>
      </c>
    </row>
    <row r="634" spans="1:43" ht="15" x14ac:dyDescent="0.25">
      <c r="A634" s="50" t="s">
        <v>2738</v>
      </c>
      <c r="B634" t="s">
        <v>2739</v>
      </c>
      <c r="C634" s="21" t="s">
        <v>2740</v>
      </c>
      <c r="D634" s="51" t="str">
        <f t="shared" si="28"/>
        <v>Documents\GitHub\Ozon_upload\barcode\amazing pics\Термонаклейка Космос поле и астронавт.pdf</v>
      </c>
      <c r="E634" s="52" t="str">
        <f>CONCATENATE("C:\Users\",username!A239,"\Documents\GitHub\Ozon_upload\DTF_images\tatyana\A4\set8\",C634,".tif")</f>
        <v>C:\Users\maxim\Documents\GitHub\Ozon_upload\DTF_images\tatyana\A4\set8\img_set8_23_vert.tif</v>
      </c>
      <c r="F634" s="21">
        <v>1</v>
      </c>
      <c r="G634" s="21">
        <v>1</v>
      </c>
      <c r="I634" s="54" t="s">
        <v>2741</v>
      </c>
      <c r="K634" s="37" t="s">
        <v>1075</v>
      </c>
      <c r="AM634" s="29"/>
      <c r="AQ634" s="14" t="s">
        <v>623</v>
      </c>
    </row>
    <row r="635" spans="1:43" ht="15" x14ac:dyDescent="0.25">
      <c r="A635" s="50" t="s">
        <v>2742</v>
      </c>
      <c r="B635" t="s">
        <v>2743</v>
      </c>
      <c r="C635" s="21" t="s">
        <v>2744</v>
      </c>
      <c r="D635" s="51" t="str">
        <f t="shared" si="28"/>
        <v>Documents\GitHub\Ozon_upload\barcode\amazing pics\Термонаклейка Черная пантера и цветы.pdf</v>
      </c>
      <c r="E635" s="52" t="str">
        <f>CONCATENATE("C:\Users\",username!A240,"\Documents\GitHub\Ozon_upload\DTF_images\tatyana\A4\set8\",C635,".tif")</f>
        <v>C:\Users\maxim\Documents\GitHub\Ozon_upload\DTF_images\tatyana\A4\set8\img_set8_24_vert.tif</v>
      </c>
      <c r="F635" s="21">
        <v>1</v>
      </c>
      <c r="G635" s="21">
        <v>1</v>
      </c>
      <c r="I635" s="54" t="s">
        <v>2745</v>
      </c>
      <c r="K635" s="37" t="s">
        <v>1075</v>
      </c>
      <c r="AM635" s="29"/>
      <c r="AQ635" s="14" t="s">
        <v>623</v>
      </c>
    </row>
    <row r="636" spans="1:43" ht="15" x14ac:dyDescent="0.25">
      <c r="A636" s="50" t="s">
        <v>2746</v>
      </c>
      <c r="B636" t="s">
        <v>2747</v>
      </c>
      <c r="C636" s="21" t="s">
        <v>2748</v>
      </c>
      <c r="D636" s="51" t="str">
        <f t="shared" si="28"/>
        <v>Documents\GitHub\Ozon_upload\barcode\amazing pics\Термонаклейка Астронавт и время космос.pdf</v>
      </c>
      <c r="E636" s="52" t="str">
        <f>CONCATENATE("C:\Users\",username!A241,"\Documents\GitHub\Ozon_upload\DTF_images\tatyana\A4\set8\",C636,".tif")</f>
        <v>C:\Users\maxim\Documents\GitHub\Ozon_upload\DTF_images\tatyana\A4\set8\img_set8_25_vert.tif</v>
      </c>
      <c r="F636" s="21">
        <v>1</v>
      </c>
      <c r="G636" s="21">
        <v>1</v>
      </c>
      <c r="I636" s="54" t="s">
        <v>2749</v>
      </c>
      <c r="K636" s="37" t="s">
        <v>1075</v>
      </c>
      <c r="AM636" s="29"/>
      <c r="AQ636" s="14" t="s">
        <v>623</v>
      </c>
    </row>
    <row r="637" spans="1:43" ht="15" x14ac:dyDescent="0.25">
      <c r="A637" s="50" t="s">
        <v>2750</v>
      </c>
      <c r="B637" t="s">
        <v>2751</v>
      </c>
      <c r="C637" s="21" t="s">
        <v>2752</v>
      </c>
      <c r="D637" s="51" t="str">
        <f t="shared" si="28"/>
        <v>Documents\GitHub\Ozon_upload\barcode\amazing pics\Термонаклейка Астронавт и часы.pdf</v>
      </c>
      <c r="E637" s="52" t="str">
        <f>CONCATENATE("C:\Users\",username!A242,"\Documents\GitHub\Ozon_upload\DTF_images\tatyana\A4\set8\",C637,".tif")</f>
        <v>C:\Users\maxim\Documents\GitHub\Ozon_upload\DTF_images\tatyana\A4\set8\img_set8_26_vert.tif</v>
      </c>
      <c r="F637" s="21">
        <v>1</v>
      </c>
      <c r="G637" s="21">
        <v>1</v>
      </c>
      <c r="I637" s="54" t="s">
        <v>2753</v>
      </c>
      <c r="K637" s="37" t="s">
        <v>1075</v>
      </c>
      <c r="AM637" s="29"/>
      <c r="AQ637" s="14" t="s">
        <v>623</v>
      </c>
    </row>
    <row r="638" spans="1:43" ht="15" x14ac:dyDescent="0.25">
      <c r="A638" s="50" t="s">
        <v>2754</v>
      </c>
      <c r="B638" t="s">
        <v>2755</v>
      </c>
      <c r="C638" s="21" t="s">
        <v>2756</v>
      </c>
      <c r="D638" s="51" t="str">
        <f t="shared" si="28"/>
        <v>Documents\GitHub\Ozon_upload\barcode\amazing pics\Термонаклейка Горы и красная луна.pdf</v>
      </c>
      <c r="E638" s="52" t="str">
        <f>CONCATENATE("C:\Users\",username!A243,"\Documents\GitHub\Ozon_upload\DTF_images\tatyana\A4\set8\",C638,".tif")</f>
        <v>C:\Users\maxim\Documents\GitHub\Ozon_upload\DTF_images\tatyana\A4\set8\img_set8_27_vert.tif</v>
      </c>
      <c r="F638" s="21">
        <v>1</v>
      </c>
      <c r="G638" s="21">
        <v>1</v>
      </c>
      <c r="I638" s="54" t="s">
        <v>2757</v>
      </c>
      <c r="K638" s="37" t="s">
        <v>1075</v>
      </c>
      <c r="AM638" s="29"/>
      <c r="AQ638" s="14" t="s">
        <v>623</v>
      </c>
    </row>
    <row r="639" spans="1:43" ht="15" x14ac:dyDescent="0.25">
      <c r="A639" s="50" t="s">
        <v>2758</v>
      </c>
      <c r="B639" t="s">
        <v>2759</v>
      </c>
      <c r="C639" s="21" t="s">
        <v>2760</v>
      </c>
      <c r="D639" s="51" t="str">
        <f t="shared" si="28"/>
        <v>Documents\GitHub\Ozon_upload\barcode\amazing pics\Термонаклейка Космический глаз вселенная.pdf</v>
      </c>
      <c r="E639" s="52" t="str">
        <f>CONCATENATE("C:\Users\",username!A244,"\Documents\GitHub\Ozon_upload\DTF_images\tatyana\A4\set8\",C639,".tif")</f>
        <v>C:\Users\maxim\Documents\GitHub\Ozon_upload\DTF_images\tatyana\A4\set8\img_set8_28_vert.tif</v>
      </c>
      <c r="F639" s="21">
        <v>1</v>
      </c>
      <c r="G639" s="21">
        <v>1</v>
      </c>
      <c r="I639" s="54" t="s">
        <v>2761</v>
      </c>
      <c r="K639" s="37" t="s">
        <v>1075</v>
      </c>
      <c r="AM639" s="29"/>
      <c r="AQ639" s="14" t="s">
        <v>623</v>
      </c>
    </row>
    <row r="640" spans="1:43" ht="15" x14ac:dyDescent="0.25">
      <c r="A640" s="50" t="s">
        <v>2762</v>
      </c>
      <c r="B640" t="s">
        <v>2763</v>
      </c>
      <c r="C640" s="21" t="s">
        <v>2764</v>
      </c>
      <c r="D640" s="51" t="str">
        <f t="shared" si="28"/>
        <v>Documents\GitHub\Ozon_upload\barcode\amazing pics\Термонаклейка Плохой кот Bad Kitty.pdf</v>
      </c>
      <c r="E640" s="52" t="str">
        <f>CONCATENATE("C:\Users\",username!A245,"\Documents\GitHub\Ozon_upload\DTF_images\tatyana\A4\set8\",C640,".tif")</f>
        <v>C:\Users\maxim\Documents\GitHub\Ozon_upload\DTF_images\tatyana\A4\set8\img_set8_29_vert.tif</v>
      </c>
      <c r="F640" s="21">
        <v>1</v>
      </c>
      <c r="G640" s="21">
        <v>1</v>
      </c>
      <c r="I640" s="54" t="s">
        <v>2765</v>
      </c>
      <c r="K640" s="37" t="s">
        <v>1075</v>
      </c>
      <c r="AM640" s="29"/>
      <c r="AQ640" s="14" t="s">
        <v>623</v>
      </c>
    </row>
    <row r="641" spans="1:43" ht="15" x14ac:dyDescent="0.25">
      <c r="A641" s="50" t="s">
        <v>2766</v>
      </c>
      <c r="B641" t="s">
        <v>2767</v>
      </c>
      <c r="C641" s="21" t="s">
        <v>2768</v>
      </c>
      <c r="D641" s="51" t="str">
        <f t="shared" si="28"/>
        <v>Documents\GitHub\Ozon_upload\barcode\amazing pics\Термонаклейка Яркий глаз поп арт.pdf</v>
      </c>
      <c r="E641" s="52" t="str">
        <f>CONCATENATE("C:\Users\",username!A246,"\Documents\GitHub\Ozon_upload\DTF_images\tatyana\A4\set8\",C641,".tif")</f>
        <v>C:\Users\maxim\Documents\GitHub\Ozon_upload\DTF_images\tatyana\A4\set8\img_set8_30_vert.tif</v>
      </c>
      <c r="F641" s="21">
        <v>1</v>
      </c>
      <c r="G641" s="21">
        <v>1</v>
      </c>
      <c r="I641" s="54" t="s">
        <v>2769</v>
      </c>
      <c r="K641" s="37" t="s">
        <v>1075</v>
      </c>
      <c r="AM641" s="29"/>
      <c r="AQ641" s="14" t="s">
        <v>623</v>
      </c>
    </row>
    <row r="642" spans="1:43" ht="15" x14ac:dyDescent="0.25">
      <c r="A642" s="50" t="s">
        <v>2770</v>
      </c>
      <c r="B642" t="s">
        <v>2771</v>
      </c>
      <c r="C642" s="21" t="s">
        <v>2772</v>
      </c>
      <c r="D642" s="51" t="str">
        <f t="shared" si="28"/>
        <v>Documents\GitHub\Ozon_upload\barcode\amazing pics\Термонаклейка Девушка космос очки.pdf</v>
      </c>
      <c r="E642" s="52" t="str">
        <f>CONCATENATE("C:\Users\",username!A247,"\Documents\GitHub\Ozon_upload\DTF_images\tatyana\A4\set13\",C642,".tif")</f>
        <v>C:\Users\maxim\Documents\GitHub\Ozon_upload\DTF_images\tatyana\A4\set13\img_set13_1_vert.tif</v>
      </c>
      <c r="F642" s="21">
        <v>1</v>
      </c>
      <c r="G642" s="21">
        <v>1</v>
      </c>
      <c r="I642" s="54" t="s">
        <v>2773</v>
      </c>
      <c r="K642" s="37" t="s">
        <v>1075</v>
      </c>
      <c r="AM642" s="29"/>
      <c r="AQ642" s="14" t="s">
        <v>623</v>
      </c>
    </row>
    <row r="643" spans="1:43" ht="15" x14ac:dyDescent="0.25">
      <c r="A643" s="50" t="s">
        <v>2774</v>
      </c>
      <c r="B643" t="s">
        <v>2775</v>
      </c>
      <c r="C643" s="21" t="s">
        <v>2776</v>
      </c>
      <c r="D643" s="51" t="str">
        <f t="shared" si="28"/>
        <v>Documents\GitHub\Ozon_upload\barcode\amazing pics\Термонаклейка Девушка красные украшения.pdf</v>
      </c>
      <c r="E643" s="52" t="str">
        <f>CONCATENATE("C:\Users\",username!A248,"\Documents\GitHub\Ozon_upload\DTF_images\tatyana\A4\set13\",C643,".tif")</f>
        <v>C:\Users\maxim\Documents\GitHub\Ozon_upload\DTF_images\tatyana\A4\set13\img_set13_2_vert.tif</v>
      </c>
      <c r="F643" s="21">
        <v>1</v>
      </c>
      <c r="G643" s="21">
        <v>1</v>
      </c>
      <c r="I643" s="54" t="s">
        <v>2777</v>
      </c>
      <c r="K643" s="37" t="s">
        <v>1075</v>
      </c>
      <c r="AM643" s="29"/>
      <c r="AQ643" s="14" t="s">
        <v>623</v>
      </c>
    </row>
    <row r="644" spans="1:43" ht="15" x14ac:dyDescent="0.25">
      <c r="A644" s="50" t="s">
        <v>2778</v>
      </c>
      <c r="B644" t="s">
        <v>2779</v>
      </c>
      <c r="C644" s="21" t="s">
        <v>2780</v>
      </c>
      <c r="D644" s="51" t="str">
        <f t="shared" si="28"/>
        <v>Documents\GitHub\Ozon_upload\barcode\amazing pics\Термонаклейка Фея на цветке.pdf</v>
      </c>
      <c r="E644" s="52" t="str">
        <f>CONCATENATE("C:\Users\",username!A249,"\Documents\GitHub\Ozon_upload\DTF_images\tatyana\A4\set13\",C644,".tif")</f>
        <v>C:\Users\maxim\Documents\GitHub\Ozon_upload\DTF_images\tatyana\A4\set13\img_set13_3_vert.tif</v>
      </c>
      <c r="F644" s="21">
        <v>1</v>
      </c>
      <c r="G644" s="21">
        <v>1</v>
      </c>
      <c r="I644" s="54" t="s">
        <v>2781</v>
      </c>
      <c r="K644" s="37" t="s">
        <v>1075</v>
      </c>
      <c r="AM644" s="29"/>
      <c r="AQ644" s="14" t="s">
        <v>623</v>
      </c>
    </row>
    <row r="645" spans="1:43" ht="15" x14ac:dyDescent="0.25">
      <c r="A645" s="50" t="s">
        <v>2782</v>
      </c>
      <c r="B645" t="s">
        <v>2783</v>
      </c>
      <c r="C645" s="21" t="s">
        <v>2784</v>
      </c>
      <c r="D645" s="51" t="str">
        <f t="shared" si="28"/>
        <v>Documents\GitHub\Ozon_upload\barcode\amazing pics\Термонаклейка Девушка с синими волосами рыбы.pdf</v>
      </c>
      <c r="E645" s="52" t="str">
        <f>CONCATENATE("C:\Users\",username!A250,"\Documents\GitHub\Ozon_upload\DTF_images\tatyana\A4\set13\",C645,".tif")</f>
        <v>C:\Users\maxim\Documents\GitHub\Ozon_upload\DTF_images\tatyana\A4\set13\img_set13_4_vert.tif</v>
      </c>
      <c r="F645" s="21">
        <v>1</v>
      </c>
      <c r="G645" s="21">
        <v>1</v>
      </c>
      <c r="I645" s="54" t="s">
        <v>2785</v>
      </c>
      <c r="K645" s="37" t="s">
        <v>1075</v>
      </c>
      <c r="AM645" s="29"/>
      <c r="AQ645" s="14" t="s">
        <v>623</v>
      </c>
    </row>
    <row r="646" spans="1:43" ht="15" x14ac:dyDescent="0.25">
      <c r="A646" s="50" t="s">
        <v>2786</v>
      </c>
      <c r="B646" t="s">
        <v>2787</v>
      </c>
      <c r="C646" s="21" t="s">
        <v>2788</v>
      </c>
      <c r="D646" s="51" t="str">
        <f t="shared" si="28"/>
        <v>Documents\GitHub\Ozon_upload\barcode\amazing pics\Термонаклейка Горы и закат пейзаж.pdf</v>
      </c>
      <c r="E646" s="52" t="str">
        <f>CONCATENATE("C:\Users\",username!A251,"\Documents\GitHub\Ozon_upload\DTF_images\tatyana\A4\set13\",C646,".tif")</f>
        <v>C:\Users\maxim\Documents\GitHub\Ozon_upload\DTF_images\tatyana\A4\set13\img_set13_5_horiz.tif</v>
      </c>
      <c r="F646" s="21">
        <v>0</v>
      </c>
      <c r="G646" s="21">
        <v>1</v>
      </c>
      <c r="I646" s="54" t="s">
        <v>2789</v>
      </c>
      <c r="K646" s="37" t="s">
        <v>1075</v>
      </c>
      <c r="AM646" s="29"/>
      <c r="AQ646" s="14" t="s">
        <v>623</v>
      </c>
    </row>
    <row r="647" spans="1:43" ht="15" x14ac:dyDescent="0.25">
      <c r="A647" s="50" t="s">
        <v>2790</v>
      </c>
      <c r="B647" t="s">
        <v>2791</v>
      </c>
      <c r="C647" s="21" t="s">
        <v>2792</v>
      </c>
      <c r="D647" s="51" t="str">
        <f t="shared" si="28"/>
        <v>Documents\GitHub\Ozon_upload\barcode\amazing pics\Термонаклейка Девушка яркий арт стиль.pdf</v>
      </c>
      <c r="E647" s="52" t="str">
        <f>CONCATENATE("C:\Users\",username!A252,"\Documents\GitHub\Ozon_upload\DTF_images\tatyana\A4\set13\",C647,".tif")</f>
        <v>C:\Users\maxim\Documents\GitHub\Ozon_upload\DTF_images\tatyana\A4\set13\img_set13_6_vert.tif</v>
      </c>
      <c r="F647" s="21">
        <v>1</v>
      </c>
      <c r="G647" s="21">
        <v>1</v>
      </c>
      <c r="I647" s="54" t="s">
        <v>2793</v>
      </c>
      <c r="K647" s="37" t="s">
        <v>1075</v>
      </c>
      <c r="AM647" s="29"/>
      <c r="AQ647" s="14" t="s">
        <v>623</v>
      </c>
    </row>
    <row r="648" spans="1:43" ht="15" x14ac:dyDescent="0.25">
      <c r="A648" s="50" t="s">
        <v>2794</v>
      </c>
      <c r="B648" t="s">
        <v>2795</v>
      </c>
      <c r="C648" s="21" t="s">
        <v>2796</v>
      </c>
      <c r="D648" s="51" t="str">
        <f t="shared" si="28"/>
        <v>Documents\GitHub\Ozon_upload\barcode\amazing pics\Термонаклейка Девушка с венком вышиванка.pdf</v>
      </c>
      <c r="E648" s="52" t="str">
        <f>CONCATENATE("C:\Users\",username!A253,"\Documents\GitHub\Ozon_upload\DTF_images\tatyana\A4\set13\",C648,".tif")</f>
        <v>C:\Users\maxim\Documents\GitHub\Ozon_upload\DTF_images\tatyana\A4\set13\img_set13_7_vert.tif</v>
      </c>
      <c r="F648" s="21">
        <v>1</v>
      </c>
      <c r="G648" s="21">
        <v>1</v>
      </c>
      <c r="I648" s="54" t="s">
        <v>2797</v>
      </c>
      <c r="K648" s="37" t="s">
        <v>1075</v>
      </c>
      <c r="AM648" s="29"/>
      <c r="AQ648" s="14" t="s">
        <v>623</v>
      </c>
    </row>
    <row r="649" spans="1:43" ht="15" x14ac:dyDescent="0.25">
      <c r="A649" s="50" t="s">
        <v>2798</v>
      </c>
      <c r="B649" t="s">
        <v>2799</v>
      </c>
      <c r="C649" s="21" t="s">
        <v>2800</v>
      </c>
      <c r="D649" s="51" t="str">
        <f t="shared" si="28"/>
        <v>Documents\GitHub\Ozon_upload\barcode\amazing pics\Термонаклейка Девушка с подсолнухом Аниме.pdf</v>
      </c>
      <c r="E649" s="52" t="str">
        <f>CONCATENATE("C:\Users\",username!A254,"\Documents\GitHub\Ozon_upload\DTF_images\tatyana\A4\set13\",C649,".tif")</f>
        <v>C:\Users\maxim\Documents\GitHub\Ozon_upload\DTF_images\tatyana\A4\set13\img_set13_8_vert.tif</v>
      </c>
      <c r="F649" s="21">
        <v>1</v>
      </c>
      <c r="G649" s="21">
        <v>1</v>
      </c>
      <c r="I649" s="54" t="s">
        <v>2801</v>
      </c>
      <c r="K649" s="37" t="s">
        <v>1075</v>
      </c>
      <c r="AM649" s="29"/>
      <c r="AQ649" s="14" t="s">
        <v>623</v>
      </c>
    </row>
    <row r="650" spans="1:43" ht="15" x14ac:dyDescent="0.25">
      <c r="A650" s="50" t="s">
        <v>2802</v>
      </c>
      <c r="B650" t="s">
        <v>2803</v>
      </c>
      <c r="C650" s="21" t="s">
        <v>2804</v>
      </c>
      <c r="D650" s="51" t="str">
        <f t="shared" ref="D650:D670" si="29">CONCATENATE("Documents\GitHub\Ozon_upload\barcode\amazing pics\", A650, ".pdf")</f>
        <v>Documents\GitHub\Ozon_upload\barcode\amazing pics\Термонаклейка Неон лицо абстракция.pdf</v>
      </c>
      <c r="E650" s="52" t="str">
        <f>CONCATENATE("C:\Users\",username!A255,"\Documents\GitHub\Ozon_upload\DTF_images\tatyana\A4\set13\",C650,".tif")</f>
        <v>C:\Users\maxim\Documents\GitHub\Ozon_upload\DTF_images\tatyana\A4\set13\img_set13_9_vert.tif</v>
      </c>
      <c r="F650" s="21">
        <v>1</v>
      </c>
      <c r="G650" s="21">
        <v>1</v>
      </c>
      <c r="I650" s="54" t="s">
        <v>2805</v>
      </c>
      <c r="K650" s="37" t="s">
        <v>1075</v>
      </c>
      <c r="AM650" s="29"/>
      <c r="AQ650" s="14" t="s">
        <v>623</v>
      </c>
    </row>
    <row r="651" spans="1:43" ht="15" x14ac:dyDescent="0.25">
      <c r="A651" s="50" t="s">
        <v>2806</v>
      </c>
      <c r="B651" t="s">
        <v>2807</v>
      </c>
      <c r="C651" s="21" t="s">
        <v>2808</v>
      </c>
      <c r="D651" s="51" t="str">
        <f t="shared" si="29"/>
        <v>Documents\GitHub\Ozon_upload\barcode\amazing pics\Термонаклейка Девушка в маках сон.pdf</v>
      </c>
      <c r="E651" s="52" t="str">
        <f>CONCATENATE("C:\Users\",username!A256,"\Documents\GitHub\Ozon_upload\DTF_images\tatyana\A4\set13\",C651,".tif")</f>
        <v>C:\Users\maxim\Documents\GitHub\Ozon_upload\DTF_images\tatyana\A4\set13\img_set13_10_vert.tif</v>
      </c>
      <c r="F651" s="21">
        <v>1</v>
      </c>
      <c r="G651" s="21">
        <v>1</v>
      </c>
      <c r="I651" s="54" t="s">
        <v>2809</v>
      </c>
      <c r="K651" s="37" t="s">
        <v>1075</v>
      </c>
      <c r="AM651" s="29"/>
      <c r="AQ651" s="14" t="s">
        <v>623</v>
      </c>
    </row>
    <row r="652" spans="1:43" ht="15" x14ac:dyDescent="0.25">
      <c r="A652" s="50" t="s">
        <v>2810</v>
      </c>
      <c r="B652" t="s">
        <v>2811</v>
      </c>
      <c r="C652" s="21" t="s">
        <v>2812</v>
      </c>
      <c r="D652" s="51" t="str">
        <f t="shared" si="29"/>
        <v>Documents\GitHub\Ozon_upload\barcode\amazing pics\Термонаклейка Девушка и феникс птица.pdf</v>
      </c>
      <c r="E652" s="52" t="str">
        <f>CONCATENATE("C:\Users\",username!A257,"\Documents\GitHub\Ozon_upload\DTF_images\tatyana\A4\set13\",C652,".tif")</f>
        <v>C:\Users\maxim\Documents\GitHub\Ozon_upload\DTF_images\tatyana\A4\set13\img_set13_11_vert.tif</v>
      </c>
      <c r="F652" s="21">
        <v>1</v>
      </c>
      <c r="G652" s="21">
        <v>1</v>
      </c>
      <c r="I652" s="54" t="s">
        <v>2813</v>
      </c>
      <c r="K652" s="37" t="s">
        <v>1075</v>
      </c>
      <c r="AM652" s="29"/>
      <c r="AQ652" s="14" t="s">
        <v>623</v>
      </c>
    </row>
    <row r="653" spans="1:43" ht="15" x14ac:dyDescent="0.25">
      <c r="A653" s="50" t="s">
        <v>2814</v>
      </c>
      <c r="B653" t="s">
        <v>2815</v>
      </c>
      <c r="C653" s="21" t="s">
        <v>2816</v>
      </c>
      <c r="D653" s="51" t="str">
        <f t="shared" si="29"/>
        <v>Documents\GitHub\Ozon_upload\barcode\amazing pics\Термонаклейка Кот в очках поп арт.pdf</v>
      </c>
      <c r="E653" s="52" t="str">
        <f>CONCATENATE("C:\Users\",username!A258,"\Documents\GitHub\Ozon_upload\DTF_images\tatyana\A4\set13\",C653,".tif")</f>
        <v>C:\Users\maxim\Documents\GitHub\Ozon_upload\DTF_images\tatyana\A4\set13\img_set13_12_vert.tif</v>
      </c>
      <c r="F653" s="21">
        <v>1</v>
      </c>
      <c r="G653" s="21">
        <v>1</v>
      </c>
      <c r="I653" s="54" t="s">
        <v>2817</v>
      </c>
      <c r="K653" s="37" t="s">
        <v>1075</v>
      </c>
      <c r="AM653" s="29"/>
      <c r="AQ653" s="14" t="s">
        <v>623</v>
      </c>
    </row>
    <row r="654" spans="1:43" ht="15" x14ac:dyDescent="0.25">
      <c r="A654" s="50" t="s">
        <v>2818</v>
      </c>
      <c r="B654" t="s">
        <v>2819</v>
      </c>
      <c r="C654" s="21" t="s">
        <v>2820</v>
      </c>
      <c r="D654" s="51" t="str">
        <f t="shared" si="29"/>
        <v>Documents\GitHub\Ozon_upload\barcode\amazing pics\Термонаклейка Девушка и голубые рыбы.pdf</v>
      </c>
      <c r="E654" s="52" t="str">
        <f>CONCATENATE("C:\Users\",username!A259,"\Documents\GitHub\Ozon_upload\DTF_images\tatyana\A4\set13\",C654,".tif")</f>
        <v>C:\Users\maxim\Documents\GitHub\Ozon_upload\DTF_images\tatyana\A4\set13\img_set13_13_vert.tif</v>
      </c>
      <c r="F654" s="21">
        <v>1</v>
      </c>
      <c r="G654" s="21">
        <v>1</v>
      </c>
      <c r="I654" s="54" t="s">
        <v>2821</v>
      </c>
      <c r="K654" s="37" t="s">
        <v>1075</v>
      </c>
      <c r="AM654" s="29"/>
      <c r="AQ654" s="14" t="s">
        <v>623</v>
      </c>
    </row>
    <row r="655" spans="1:43" ht="15" x14ac:dyDescent="0.25">
      <c r="A655" s="50" t="s">
        <v>2822</v>
      </c>
      <c r="B655" t="s">
        <v>2823</v>
      </c>
      <c r="C655" s="21" t="s">
        <v>2824</v>
      </c>
      <c r="D655" s="51" t="str">
        <f t="shared" si="29"/>
        <v>Documents\GitHub\Ozon_upload\barcode\amazing pics\Термонаклейка Кот с чипсами милый.pdf</v>
      </c>
      <c r="E655" s="52" t="str">
        <f>CONCATENATE("C:\Users\",username!A260,"\Documents\GitHub\Ozon_upload\DTF_images\tatyana\A4\set13\",C655,".tif")</f>
        <v>C:\Users\maxim\Documents\GitHub\Ozon_upload\DTF_images\tatyana\A4\set13\img_set13_14_horiz.tif</v>
      </c>
      <c r="F655" s="21">
        <v>0</v>
      </c>
      <c r="G655" s="21">
        <v>1</v>
      </c>
      <c r="I655" s="54" t="s">
        <v>2825</v>
      </c>
      <c r="K655" s="37" t="s">
        <v>1075</v>
      </c>
      <c r="AM655" s="29"/>
      <c r="AQ655" s="14" t="s">
        <v>623</v>
      </c>
    </row>
    <row r="656" spans="1:43" ht="15" x14ac:dyDescent="0.25">
      <c r="A656" s="50" t="s">
        <v>2826</v>
      </c>
      <c r="B656" t="s">
        <v>2827</v>
      </c>
      <c r="C656" s="21" t="s">
        <v>2828</v>
      </c>
      <c r="D656" s="51" t="str">
        <f t="shared" si="29"/>
        <v>Documents\GitHub\Ozon_upload\barcode\amazing pics\Термонаклейка Девушка в цветах нежность.pdf</v>
      </c>
      <c r="E656" s="52" t="str">
        <f>CONCATENATE("C:\Users\",username!A261,"\Documents\GitHub\Ozon_upload\DTF_images\tatyana\A4\set13\",C656,".tif")</f>
        <v>C:\Users\maxim\Documents\GitHub\Ozon_upload\DTF_images\tatyana\A4\set13\img_set13_15_vert.tif</v>
      </c>
      <c r="F656" s="21">
        <v>1</v>
      </c>
      <c r="G656" s="21">
        <v>1</v>
      </c>
      <c r="I656" s="54" t="s">
        <v>2829</v>
      </c>
      <c r="K656" s="37" t="s">
        <v>1075</v>
      </c>
      <c r="AM656" s="29"/>
      <c r="AQ656" s="14" t="s">
        <v>623</v>
      </c>
    </row>
    <row r="657" spans="1:43" ht="15" x14ac:dyDescent="0.25">
      <c r="A657" s="50" t="s">
        <v>2830</v>
      </c>
      <c r="B657" t="s">
        <v>2831</v>
      </c>
      <c r="C657" s="21" t="s">
        <v>2832</v>
      </c>
      <c r="D657" s="51" t="str">
        <f t="shared" si="29"/>
        <v>Documents\GitHub\Ozon_upload\barcode\amazing pics\Термонаклейка Лев яркие краски арт.pdf</v>
      </c>
      <c r="E657" s="52" t="str">
        <f>CONCATENATE("C:\Users\",username!A262,"\Documents\GitHub\Ozon_upload\DTF_images\tatyana\A4\set13\",C657,".tif")</f>
        <v>C:\Users\maxim\Documents\GitHub\Ozon_upload\DTF_images\tatyana\A4\set13\img_set13_16_vert.tif</v>
      </c>
      <c r="F657" s="21">
        <v>1</v>
      </c>
      <c r="G657" s="21">
        <v>1</v>
      </c>
      <c r="I657" s="54" t="s">
        <v>2833</v>
      </c>
      <c r="K657" s="37" t="s">
        <v>1075</v>
      </c>
      <c r="AM657" s="29"/>
      <c r="AQ657" s="14" t="s">
        <v>623</v>
      </c>
    </row>
    <row r="658" spans="1:43" ht="15" x14ac:dyDescent="0.25">
      <c r="A658" s="50" t="s">
        <v>2834</v>
      </c>
      <c r="B658" t="s">
        <v>2835</v>
      </c>
      <c r="C658" s="21" t="s">
        <v>2836</v>
      </c>
      <c r="D658" s="51" t="str">
        <f t="shared" si="29"/>
        <v>Documents\GitHub\Ozon_upload\barcode\amazing pics\Термонаклейка Девушка и белый конь.pdf</v>
      </c>
      <c r="E658" s="52" t="str">
        <f>CONCATENATE("C:\Users\",username!A263,"\Documents\GitHub\Ozon_upload\DTF_images\tatyana\A4\set13\",C658,".tif")</f>
        <v>C:\Users\maxim\Documents\GitHub\Ozon_upload\DTF_images\tatyana\A4\set13\img_set13_17_vert.tif</v>
      </c>
      <c r="F658" s="21">
        <v>1</v>
      </c>
      <c r="G658" s="21">
        <v>1</v>
      </c>
      <c r="I658" s="54" t="s">
        <v>2837</v>
      </c>
      <c r="K658" s="37" t="s">
        <v>1075</v>
      </c>
      <c r="AM658" s="29"/>
      <c r="AQ658" s="14" t="s">
        <v>623</v>
      </c>
    </row>
    <row r="659" spans="1:43" ht="15" x14ac:dyDescent="0.25">
      <c r="A659" s="50" t="s">
        <v>2838</v>
      </c>
      <c r="B659" t="s">
        <v>2839</v>
      </c>
      <c r="C659" s="21" t="s">
        <v>2840</v>
      </c>
      <c r="D659" s="51" t="str">
        <f t="shared" si="29"/>
        <v>Documents\GitHub\Ozon_upload\barcode\amazing pics\Термонаклейка Лицо в цветах яркий арт.pdf</v>
      </c>
      <c r="E659" s="52" t="str">
        <f>CONCATENATE("C:\Users\",username!A264,"\Documents\GitHub\Ozon_upload\DTF_images\tatyana\A4\set13\",C659,".tif")</f>
        <v>C:\Users\maxim\Documents\GitHub\Ozon_upload\DTF_images\tatyana\A4\set13\img_set13_18_vert.tif</v>
      </c>
      <c r="F659" s="21">
        <v>1</v>
      </c>
      <c r="G659" s="21">
        <v>1</v>
      </c>
      <c r="I659" s="54" t="s">
        <v>2841</v>
      </c>
      <c r="K659" s="37" t="s">
        <v>1075</v>
      </c>
      <c r="AM659" s="29"/>
      <c r="AQ659" s="14" t="s">
        <v>623</v>
      </c>
    </row>
    <row r="660" spans="1:43" ht="15" x14ac:dyDescent="0.25">
      <c r="A660" s="50" t="s">
        <v>2842</v>
      </c>
      <c r="B660" t="s">
        <v>2843</v>
      </c>
      <c r="C660" s="21" t="s">
        <v>2844</v>
      </c>
      <c r="D660" s="51" t="str">
        <f t="shared" si="29"/>
        <v>Documents\GitHub\Ozon_upload\barcode\amazing pics\Термонаклейка Девушка и конь в красных цветах.pdf</v>
      </c>
      <c r="E660" s="52" t="str">
        <f>CONCATENATE("C:\Users\",username!A265,"\Documents\GitHub\Ozon_upload\DTF_images\tatyana\A4\set13\",C660,".tif")</f>
        <v>C:\Users\maxim\Documents\GitHub\Ozon_upload\DTF_images\tatyana\A4\set13\img_set13_19_vert.tif</v>
      </c>
      <c r="F660" s="21">
        <v>1</v>
      </c>
      <c r="G660" s="21">
        <v>1</v>
      </c>
      <c r="I660" s="54" t="s">
        <v>2845</v>
      </c>
      <c r="K660" s="37" t="s">
        <v>1075</v>
      </c>
      <c r="AM660" s="29"/>
      <c r="AQ660" s="14" t="s">
        <v>623</v>
      </c>
    </row>
    <row r="661" spans="1:43" ht="15" x14ac:dyDescent="0.25">
      <c r="A661" s="50" t="s">
        <v>2846</v>
      </c>
      <c r="B661" t="s">
        <v>2847</v>
      </c>
      <c r="C661" s="21" t="s">
        <v>2848</v>
      </c>
      <c r="D661" s="51" t="str">
        <f t="shared" si="29"/>
        <v>Documents\GitHub\Ozon_upload\barcode\amazing pics\Термонаклейка Девушка и попугай.pdf</v>
      </c>
      <c r="E661" s="52" t="str">
        <f>CONCATENATE("C:\Users\",username!A266,"\Documents\GitHub\Ozon_upload\DTF_images\tatyana\A4\set13\",C661,".tif")</f>
        <v>C:\Users\maxim\Documents\GitHub\Ozon_upload\DTF_images\tatyana\A4\set13\img_set13_20_vert.tif</v>
      </c>
      <c r="F661" s="21">
        <v>1</v>
      </c>
      <c r="G661" s="21">
        <v>1</v>
      </c>
      <c r="I661" s="54" t="s">
        <v>2849</v>
      </c>
      <c r="K661" s="37" t="s">
        <v>1075</v>
      </c>
      <c r="AM661" s="29"/>
      <c r="AQ661" s="14" t="s">
        <v>623</v>
      </c>
    </row>
    <row r="662" spans="1:43" ht="15" x14ac:dyDescent="0.25">
      <c r="A662" s="50" t="s">
        <v>2850</v>
      </c>
      <c r="B662" t="s">
        <v>2851</v>
      </c>
      <c r="C662" s="21" t="s">
        <v>2852</v>
      </c>
      <c r="D662" s="51" t="str">
        <f t="shared" si="29"/>
        <v>Documents\GitHub\Ozon_upload\barcode\amazing pics\Термонаклейка Кот и бабочка поп арт.pdf</v>
      </c>
      <c r="E662" s="52" t="str">
        <f>CONCATENATE("C:\Users\",username!A267,"\Documents\GitHub\Ozon_upload\DTF_images\tatyana\A4\set13\",C662,".tif")</f>
        <v>C:\Users\maxim\Documents\GitHub\Ozon_upload\DTF_images\tatyana\A4\set13\img_set13_21_vert.tif</v>
      </c>
      <c r="F662" s="21">
        <v>1</v>
      </c>
      <c r="G662" s="21">
        <v>1</v>
      </c>
      <c r="I662" s="54" t="s">
        <v>2853</v>
      </c>
      <c r="K662" s="37" t="s">
        <v>1075</v>
      </c>
      <c r="AM662" s="29"/>
      <c r="AQ662" s="14" t="s">
        <v>628</v>
      </c>
    </row>
    <row r="663" spans="1:43" ht="15" x14ac:dyDescent="0.25">
      <c r="A663" s="50" t="s">
        <v>2854</v>
      </c>
      <c r="B663" t="s">
        <v>2855</v>
      </c>
      <c r="C663" s="21" t="s">
        <v>2856</v>
      </c>
      <c r="D663" s="51" t="str">
        <f t="shared" si="29"/>
        <v>Documents\GitHub\Ozon_upload\barcode\amazing pics\Термонаклейка Кот в ванной с бокалом.pdf</v>
      </c>
      <c r="E663" s="52" t="str">
        <f>CONCATENATE("C:\Users\",username!A268,"\Documents\GitHub\Ozon_upload\DTF_images\tatyana\A4\set13\",C663,".tif")</f>
        <v>C:\Users\maxim\Documents\GitHub\Ozon_upload\DTF_images\tatyana\A4\set13\img_set13_22_vert.tif</v>
      </c>
      <c r="F663" s="21">
        <v>1</v>
      </c>
      <c r="G663" s="21">
        <v>1</v>
      </c>
      <c r="I663" s="54" t="s">
        <v>2857</v>
      </c>
      <c r="K663" s="37" t="s">
        <v>1075</v>
      </c>
      <c r="AM663" s="29"/>
      <c r="AQ663" s="14" t="s">
        <v>623</v>
      </c>
    </row>
    <row r="664" spans="1:43" ht="15" x14ac:dyDescent="0.25">
      <c r="A664" s="50" t="s">
        <v>2858</v>
      </c>
      <c r="B664" t="s">
        <v>2859</v>
      </c>
      <c r="C664" s="21" t="s">
        <v>2860</v>
      </c>
      <c r="D664" s="51" t="str">
        <f t="shared" si="29"/>
        <v>Documents\GitHub\Ozon_upload\barcode\amazing pics\Термонаклейка Кот розовый в цветах арт.pdf</v>
      </c>
      <c r="E664" s="52" t="str">
        <f>CONCATENATE("C:\Users\",username!A270,"\Documents\GitHub\Ozon_upload\DTF_images\tatyana\A4\set13\",C664,".tif")</f>
        <v>C:\Users\maxim\Documents\GitHub\Ozon_upload\DTF_images\tatyana\A4\set13\img_set13_24_vert.tif</v>
      </c>
      <c r="F664" s="21">
        <v>1</v>
      </c>
      <c r="G664" s="21">
        <v>1</v>
      </c>
      <c r="I664" s="54" t="s">
        <v>2861</v>
      </c>
      <c r="K664" s="37" t="s">
        <v>1075</v>
      </c>
      <c r="AM664" s="29"/>
      <c r="AQ664" s="14" t="s">
        <v>623</v>
      </c>
    </row>
    <row r="665" spans="1:43" ht="15" x14ac:dyDescent="0.25">
      <c r="A665" s="50" t="s">
        <v>2862</v>
      </c>
      <c r="B665" t="s">
        <v>2863</v>
      </c>
      <c r="C665" s="21" t="s">
        <v>2864</v>
      </c>
      <c r="D665" s="51" t="str">
        <f t="shared" si="29"/>
        <v>Documents\GitHub\Ozon_upload\barcode\amazing pics\Термонаклейка Сердце глаз космос.pdf</v>
      </c>
      <c r="E665" s="52" t="str">
        <f>CONCATENATE("C:\Users\",username!A271,"\Documents\GitHub\Ozon_upload\DTF_images\tatyana\A4\set13\",C665,".tif")</f>
        <v>C:\Users\maxim\Documents\GitHub\Ozon_upload\DTF_images\tatyana\A4\set13\img_set13_25_vert.tif</v>
      </c>
      <c r="F665" s="21">
        <v>1</v>
      </c>
      <c r="G665" s="21">
        <v>1</v>
      </c>
      <c r="I665" s="54" t="s">
        <v>2865</v>
      </c>
      <c r="K665" s="37" t="s">
        <v>1075</v>
      </c>
      <c r="AM665" s="29"/>
      <c r="AQ665" s="14" t="s">
        <v>623</v>
      </c>
    </row>
    <row r="666" spans="1:43" ht="15" x14ac:dyDescent="0.25">
      <c r="A666" s="50" t="s">
        <v>2866</v>
      </c>
      <c r="B666" t="s">
        <v>2867</v>
      </c>
      <c r="C666" s="21" t="s">
        <v>2868</v>
      </c>
      <c r="D666" s="51" t="str">
        <f t="shared" si="29"/>
        <v>Documents\GitHub\Ozon_upload\barcode\amazing pics\Термонаклейка Ветви с белыми цветами.pdf</v>
      </c>
      <c r="E666" s="52" t="str">
        <f>CONCATENATE("C:\Users\",username!A272,"\Documents\GitHub\Ozon_upload\DTF_images\tatyana\A4\set13\",C666,".tif")</f>
        <v>C:\Users\maxim\Documents\GitHub\Ozon_upload\DTF_images\tatyana\A4\set13\img_set13_26_vert.tif</v>
      </c>
      <c r="F666" s="21">
        <v>1</v>
      </c>
      <c r="G666" s="21">
        <v>1</v>
      </c>
      <c r="I666" s="54" t="s">
        <v>2869</v>
      </c>
      <c r="K666" s="37" t="s">
        <v>1075</v>
      </c>
      <c r="AM666" s="29"/>
      <c r="AQ666" s="14" t="s">
        <v>623</v>
      </c>
    </row>
    <row r="667" spans="1:43" ht="15" x14ac:dyDescent="0.25">
      <c r="A667" s="50" t="s">
        <v>2870</v>
      </c>
      <c r="B667" t="s">
        <v>2871</v>
      </c>
      <c r="C667" s="21" t="s">
        <v>2872</v>
      </c>
      <c r="D667" s="51" t="str">
        <f t="shared" si="29"/>
        <v>Documents\GitHub\Ozon_upload\barcode\amazing pics\Термонаклейка Глаз среди тюльпанов.pdf</v>
      </c>
      <c r="E667" s="52" t="str">
        <f>CONCATENATE("C:\Users\",username!A273,"\Documents\GitHub\Ozon_upload\DTF_images\tatyana\A4\set13\",C667,".tif")</f>
        <v>C:\Users\maxim\Documents\GitHub\Ozon_upload\DTF_images\tatyana\A4\set13\img_set13_27_vert.tif</v>
      </c>
      <c r="F667" s="21">
        <v>1</v>
      </c>
      <c r="G667" s="21">
        <v>1</v>
      </c>
      <c r="I667" s="54" t="s">
        <v>2873</v>
      </c>
      <c r="K667" s="37" t="s">
        <v>1075</v>
      </c>
      <c r="AM667" s="29"/>
      <c r="AQ667" s="14" t="s">
        <v>623</v>
      </c>
    </row>
    <row r="668" spans="1:43" ht="15" x14ac:dyDescent="0.25">
      <c r="A668" s="50" t="s">
        <v>2874</v>
      </c>
      <c r="B668" t="s">
        <v>2875</v>
      </c>
      <c r="C668" s="21" t="s">
        <v>2876</v>
      </c>
      <c r="D668" s="51" t="str">
        <f t="shared" si="29"/>
        <v>Documents\GitHub\Ozon_upload\barcode\amazing pics\Термонаклейка Коты с узорами набор.pdf</v>
      </c>
      <c r="E668" s="52" t="str">
        <f>CONCATENATE("C:\Users\",username!A274,"\Documents\GitHub\Ozon_upload\DTF_images\tatyana\A4\set13\",C668,".tif")</f>
        <v>C:\Users\maxim\Documents\GitHub\Ozon_upload\DTF_images\tatyana\A4\set13\img_set13_28_horiz.tif</v>
      </c>
      <c r="F668" s="21">
        <v>0</v>
      </c>
      <c r="G668" s="21">
        <v>1</v>
      </c>
      <c r="I668" s="54" t="s">
        <v>2877</v>
      </c>
      <c r="K668" s="37" t="s">
        <v>1075</v>
      </c>
      <c r="AM668" s="29"/>
      <c r="AQ668" s="14" t="s">
        <v>623</v>
      </c>
    </row>
    <row r="669" spans="1:43" ht="15" x14ac:dyDescent="0.25">
      <c r="A669" s="50" t="s">
        <v>2878</v>
      </c>
      <c r="B669" t="s">
        <v>2879</v>
      </c>
      <c r="C669" s="21" t="s">
        <v>2880</v>
      </c>
      <c r="D669" s="51" t="str">
        <f t="shared" si="29"/>
        <v>Documents\GitHub\Ozon_upload\barcode\amazing pics\Термонаклейка Сердца с глазом набор.pdf</v>
      </c>
      <c r="E669" s="52" t="str">
        <f>CONCATENATE("C:\Users\",username!A275,"\Documents\GitHub\Ozon_upload\DTF_images\tatyana\A4\set13\",C669,".tif")</f>
        <v>C:\Users\maxim\Documents\GitHub\Ozon_upload\DTF_images\tatyana\A4\set13\img_set13_29_vert.tif</v>
      </c>
      <c r="F669" s="21">
        <v>1</v>
      </c>
      <c r="G669" s="21">
        <v>1</v>
      </c>
      <c r="I669" s="54" t="s">
        <v>2881</v>
      </c>
      <c r="K669" s="37" t="s">
        <v>1075</v>
      </c>
      <c r="AM669" s="29"/>
      <c r="AQ669" s="14" t="s">
        <v>623</v>
      </c>
    </row>
    <row r="670" spans="1:43" ht="15" x14ac:dyDescent="0.25">
      <c r="A670" s="50" t="s">
        <v>2882</v>
      </c>
      <c r="B670" t="s">
        <v>2883</v>
      </c>
      <c r="C670" s="21" t="s">
        <v>2884</v>
      </c>
      <c r="D670" s="51" t="str">
        <f t="shared" si="29"/>
        <v>Documents\GitHub\Ozon_upload\barcode\amazing pics\Термонаклейка Пантера и пионы арт.pdf</v>
      </c>
      <c r="E670" s="52" t="str">
        <f>CONCATENATE("C:\Users\",username!A276,"\Documents\GitHub\Ozon_upload\DTF_images\tatyana\A4\set13\",C670,".tif")</f>
        <v>C:\Users\maxim\Documents\GitHub\Ozon_upload\DTF_images\tatyana\A4\set13\img_set13_30_vert.tif</v>
      </c>
      <c r="F670" s="21">
        <v>1</v>
      </c>
      <c r="G670" s="21">
        <v>1</v>
      </c>
      <c r="I670" s="54" t="s">
        <v>2885</v>
      </c>
      <c r="K670" s="37" t="s">
        <v>1075</v>
      </c>
      <c r="AM670" s="29"/>
      <c r="AQ670" s="14" t="s">
        <v>623</v>
      </c>
    </row>
    <row r="671" spans="1:43" x14ac:dyDescent="0.2">
      <c r="A671" s="57" t="s">
        <v>3113</v>
      </c>
      <c r="B671" t="s">
        <v>3153</v>
      </c>
      <c r="C671" s="58" t="s">
        <v>3033</v>
      </c>
      <c r="D671" s="59" t="str">
        <f>CONCATENATE("Documents\GitHub\Ozon_upload\barcode\punky monkey\set_numbers\numbers_black\", A671, ".pdf")</f>
        <v>Documents\GitHub\Ozon_upload\barcode\punky monkey\set_numbers\numbers_black\Термонаклейка номер большая черная цифра 0.pdf</v>
      </c>
      <c r="E671" s="60" t="str">
        <f>CONCATENATE("C:\Users\",username!A277,"\Documents\GitHub\Ozon_upload\DTF_images\max\A4\set_numbers\numbers_black\",C671,".tif")</f>
        <v>C:\Users\maxim\Documents\GitHub\Ozon_upload\DTF_images\max\A4\set_numbers\numbers_black\number_black0_20cm.tif</v>
      </c>
      <c r="F671" s="58">
        <v>1</v>
      </c>
      <c r="G671" s="58">
        <v>1</v>
      </c>
      <c r="H671" s="69" t="s">
        <v>3144</v>
      </c>
      <c r="I671" s="62" t="s">
        <v>3053</v>
      </c>
      <c r="J671" s="57"/>
      <c r="K671" s="57" t="s">
        <v>48</v>
      </c>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61" t="s">
        <v>623</v>
      </c>
    </row>
    <row r="672" spans="1:43" x14ac:dyDescent="0.2">
      <c r="A672" s="57" t="s">
        <v>3114</v>
      </c>
      <c r="B672" t="s">
        <v>3154</v>
      </c>
      <c r="C672" s="57" t="s">
        <v>3034</v>
      </c>
      <c r="D672" s="59" t="str">
        <f t="shared" ref="D672:D680" si="30">CONCATENATE("Documents\GitHub\Ozon_upload\barcode\punky monkey\set_numbers\numbers_black\", A672, ".pdf")</f>
        <v>Documents\GitHub\Ozon_upload\barcode\punky monkey\set_numbers\numbers_black\Термонаклейка номер большая черная цифра 1.pdf</v>
      </c>
      <c r="E672" s="60" t="str">
        <f>CONCATENATE("C:\Users\",username!A278,"\Documents\GitHub\Ozon_upload\DTF_images\max\A4\set_numbers\numbers_black\",C672,".tif")</f>
        <v>C:\Users\maxim\Documents\GitHub\Ozon_upload\DTF_images\max\A4\set_numbers\numbers_black\number_black1_20cm.tif</v>
      </c>
      <c r="F672" s="58">
        <v>1</v>
      </c>
      <c r="G672" s="58">
        <v>1</v>
      </c>
      <c r="H672" t="s">
        <v>3144</v>
      </c>
      <c r="I672" s="62" t="s">
        <v>3054</v>
      </c>
      <c r="J672" s="57"/>
      <c r="K672" s="57" t="s">
        <v>48</v>
      </c>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61"/>
      <c r="AN672" s="57"/>
      <c r="AO672" s="57"/>
      <c r="AP672" s="57"/>
      <c r="AQ672" s="61" t="s">
        <v>623</v>
      </c>
    </row>
    <row r="673" spans="1:43" x14ac:dyDescent="0.2">
      <c r="A673" s="57" t="s">
        <v>3115</v>
      </c>
      <c r="B673" t="s">
        <v>3155</v>
      </c>
      <c r="C673" s="57" t="s">
        <v>3035</v>
      </c>
      <c r="D673" s="59" t="str">
        <f t="shared" si="30"/>
        <v>Documents\GitHub\Ozon_upload\barcode\punky monkey\set_numbers\numbers_black\Термонаклейка номер большая черная цифра 2.pdf</v>
      </c>
      <c r="E673" s="60" t="str">
        <f>CONCATENATE("C:\Users\",username!A279,"\Documents\GitHub\Ozon_upload\DTF_images\max\A4\set_numbers\numbers_black\",C673,".tif")</f>
        <v>C:\Users\maxim\Documents\GitHub\Ozon_upload\DTF_images\max\A4\set_numbers\numbers_black\number_black2_20cm.tif</v>
      </c>
      <c r="F673" s="58">
        <v>1</v>
      </c>
      <c r="G673" s="58">
        <v>1</v>
      </c>
      <c r="H673" t="s">
        <v>3144</v>
      </c>
      <c r="I673" s="62" t="s">
        <v>3055</v>
      </c>
      <c r="J673" s="57"/>
      <c r="K673" s="57" t="s">
        <v>48</v>
      </c>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61" t="s">
        <v>623</v>
      </c>
    </row>
    <row r="674" spans="1:43" x14ac:dyDescent="0.2">
      <c r="A674" s="57" t="s">
        <v>3116</v>
      </c>
      <c r="B674" t="s">
        <v>3156</v>
      </c>
      <c r="C674" s="57" t="s">
        <v>3036</v>
      </c>
      <c r="D674" s="59" t="str">
        <f>CONCATENATE("Documents\GitHub\Ozon_upload\barcode\punky monkey\set_numbers\numbers_black\", A674, ".pdf")</f>
        <v>Documents\GitHub\Ozon_upload\barcode\punky monkey\set_numbers\numbers_black\Термонаклейка номер большая черная цифра 3.pdf</v>
      </c>
      <c r="E674" s="60" t="str">
        <f>CONCATENATE("C:\Users\",username!A280,"\Documents\GitHub\Ozon_upload\DTF_images\max\A4\set_numbers\numbers_black\",C674,".tif")</f>
        <v>C:\Users\maxim\Documents\GitHub\Ozon_upload\DTF_images\max\A4\set_numbers\numbers_black\number_black3_20cm.tif</v>
      </c>
      <c r="F674" s="58">
        <v>1</v>
      </c>
      <c r="G674" s="58">
        <v>1</v>
      </c>
      <c r="H674" t="s">
        <v>3144</v>
      </c>
      <c r="I674" s="62" t="s">
        <v>3056</v>
      </c>
      <c r="J674" s="57"/>
      <c r="K674" s="57" t="s">
        <v>48</v>
      </c>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61" t="s">
        <v>623</v>
      </c>
    </row>
    <row r="675" spans="1:43" x14ac:dyDescent="0.2">
      <c r="A675" s="57" t="s">
        <v>3117</v>
      </c>
      <c r="B675" t="s">
        <v>3157</v>
      </c>
      <c r="C675" s="57" t="s">
        <v>3037</v>
      </c>
      <c r="D675" s="59" t="str">
        <f t="shared" si="30"/>
        <v>Documents\GitHub\Ozon_upload\barcode\punky monkey\set_numbers\numbers_black\Термонаклейка номер большая черная цифра 4.pdf</v>
      </c>
      <c r="E675" s="60" t="str">
        <f>CONCATENATE("C:\Users\",username!A281,"\Documents\GitHub\Ozon_upload\DTF_images\max\A4\set_numbers\numbers_black\",C675,".tif")</f>
        <v>C:\Users\maxim\Documents\GitHub\Ozon_upload\DTF_images\max\A4\set_numbers\numbers_black\number_black4_20cm.tif</v>
      </c>
      <c r="F675" s="58">
        <v>1</v>
      </c>
      <c r="G675" s="58">
        <v>1</v>
      </c>
      <c r="H675" t="s">
        <v>3144</v>
      </c>
      <c r="I675" s="62" t="s">
        <v>3057</v>
      </c>
      <c r="J675" s="57"/>
      <c r="K675" s="57" t="s">
        <v>48</v>
      </c>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61" t="s">
        <v>623</v>
      </c>
    </row>
    <row r="676" spans="1:43" x14ac:dyDescent="0.2">
      <c r="A676" s="57" t="s">
        <v>3132</v>
      </c>
      <c r="B676" t="s">
        <v>3158</v>
      </c>
      <c r="C676" s="57" t="s">
        <v>3038</v>
      </c>
      <c r="D676" s="59" t="str">
        <f t="shared" si="30"/>
        <v>Documents\GitHub\Ozon_upload\barcode\punky monkey\set_numbers\numbers_black\Термонаклейка номер большая черная цифра 5.pdf</v>
      </c>
      <c r="E676" s="60" t="str">
        <f>CONCATENATE("C:\Users\",username!A282,"\Documents\GitHub\Ozon_upload\DTF_images\max\A4\set_numbers\numbers_black\",C676,".tif")</f>
        <v>C:\Users\maxim\Documents\GitHub\Ozon_upload\DTF_images\max\A4\set_numbers\numbers_black\number_black5_20cm.tif</v>
      </c>
      <c r="F676" s="58">
        <v>1</v>
      </c>
      <c r="G676" s="58">
        <v>1</v>
      </c>
      <c r="H676" t="s">
        <v>3144</v>
      </c>
      <c r="I676" s="62" t="s">
        <v>3058</v>
      </c>
      <c r="J676" s="57"/>
      <c r="K676" s="57" t="s">
        <v>48</v>
      </c>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61" t="s">
        <v>623</v>
      </c>
    </row>
    <row r="677" spans="1:43" x14ac:dyDescent="0.2">
      <c r="A677" s="57" t="s">
        <v>3131</v>
      </c>
      <c r="B677" t="s">
        <v>3159</v>
      </c>
      <c r="C677" s="57" t="s">
        <v>3039</v>
      </c>
      <c r="D677" s="59" t="str">
        <f t="shared" si="30"/>
        <v>Documents\GitHub\Ozon_upload\barcode\punky monkey\set_numbers\numbers_black\Термонаклейка номер большая черная цифра 6.pdf</v>
      </c>
      <c r="E677" s="60" t="str">
        <f>CONCATENATE("C:\Users\",username!A283,"\Documents\GitHub\Ozon_upload\DTF_images\max\A4\set_numbers\numbers_black\",C677,".tif")</f>
        <v>C:\Users\maxim\Documents\GitHub\Ozon_upload\DTF_images\max\A4\set_numbers\numbers_black\number_black6_20cm.tif</v>
      </c>
      <c r="F677" s="58">
        <v>1</v>
      </c>
      <c r="G677" s="58">
        <v>1</v>
      </c>
      <c r="H677" t="s">
        <v>3144</v>
      </c>
      <c r="I677" s="62" t="s">
        <v>3059</v>
      </c>
      <c r="J677" s="57"/>
      <c r="K677" s="57" t="s">
        <v>48</v>
      </c>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61" t="s">
        <v>623</v>
      </c>
    </row>
    <row r="678" spans="1:43" x14ac:dyDescent="0.2">
      <c r="A678" s="57" t="s">
        <v>3130</v>
      </c>
      <c r="B678" t="s">
        <v>3160</v>
      </c>
      <c r="C678" s="57" t="s">
        <v>3040</v>
      </c>
      <c r="D678" s="59" t="str">
        <f t="shared" si="30"/>
        <v>Documents\GitHub\Ozon_upload\barcode\punky monkey\set_numbers\numbers_black\Термонаклейка номер большая черная цифра 7.pdf</v>
      </c>
      <c r="E678" s="60" t="str">
        <f>CONCATENATE("C:\Users\",username!A284,"\Documents\GitHub\Ozon_upload\DTF_images\max\A4\set_numbers\numbers_black\",C678,".tif")</f>
        <v>C:\Users\maxim\Documents\GitHub\Ozon_upload\DTF_images\max\A4\set_numbers\numbers_black\number_black7_20cm.tif</v>
      </c>
      <c r="F678" s="58">
        <v>1</v>
      </c>
      <c r="G678" s="58">
        <v>1</v>
      </c>
      <c r="H678" t="s">
        <v>3144</v>
      </c>
      <c r="I678" s="62" t="s">
        <v>3060</v>
      </c>
      <c r="J678" s="57"/>
      <c r="K678" s="57" t="s">
        <v>48</v>
      </c>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61" t="s">
        <v>623</v>
      </c>
    </row>
    <row r="679" spans="1:43" x14ac:dyDescent="0.2">
      <c r="A679" s="57" t="s">
        <v>3129</v>
      </c>
      <c r="B679" t="s">
        <v>3161</v>
      </c>
      <c r="C679" s="57" t="s">
        <v>3041</v>
      </c>
      <c r="D679" s="59" t="str">
        <f t="shared" si="30"/>
        <v>Documents\GitHub\Ozon_upload\barcode\punky monkey\set_numbers\numbers_black\Термонаклейка номер большая черная цифра 8.pdf</v>
      </c>
      <c r="E679" s="60" t="str">
        <f>CONCATENATE("C:\Users\",username!A285,"\Documents\GitHub\Ozon_upload\DTF_images\max\A4\set_numbers\numbers_black\",C679,".tif")</f>
        <v>C:\Users\maxim\Documents\GitHub\Ozon_upload\DTF_images\max\A4\set_numbers\numbers_black\number_black8_20cm.tif</v>
      </c>
      <c r="F679" s="58">
        <v>1</v>
      </c>
      <c r="G679" s="58">
        <v>1</v>
      </c>
      <c r="H679" t="s">
        <v>3144</v>
      </c>
      <c r="I679" s="62" t="s">
        <v>3061</v>
      </c>
      <c r="J679" s="57"/>
      <c r="K679" s="57" t="s">
        <v>48</v>
      </c>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61" t="s">
        <v>623</v>
      </c>
    </row>
    <row r="680" spans="1:43" x14ac:dyDescent="0.2">
      <c r="A680" s="57" t="s">
        <v>3128</v>
      </c>
      <c r="B680" t="s">
        <v>3162</v>
      </c>
      <c r="C680" s="57" t="s">
        <v>3042</v>
      </c>
      <c r="D680" s="59" t="str">
        <f t="shared" si="30"/>
        <v>Documents\GitHub\Ozon_upload\barcode\punky monkey\set_numbers\numbers_black\Термонаклейка номер большая черная цифра 9.pdf</v>
      </c>
      <c r="E680" s="60" t="str">
        <f>CONCATENATE("C:\Users\",username!A286,"\Documents\GitHub\Ozon_upload\DTF_images\max\A4\set_numbers\numbers_black\",C680,".tif")</f>
        <v>C:\Users\maxim\Documents\GitHub\Ozon_upload\DTF_images\max\A4\set_numbers\numbers_black\number_black9_20cm.tif</v>
      </c>
      <c r="F680" s="58">
        <v>1</v>
      </c>
      <c r="G680" s="58">
        <v>1</v>
      </c>
      <c r="H680" s="69" t="s">
        <v>3144</v>
      </c>
      <c r="I680" s="62" t="s">
        <v>3062</v>
      </c>
      <c r="J680" s="57"/>
      <c r="K680" s="57" t="s">
        <v>48</v>
      </c>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61" t="s">
        <v>623</v>
      </c>
    </row>
    <row r="681" spans="1:43" x14ac:dyDescent="0.2">
      <c r="A681" s="57" t="s">
        <v>3127</v>
      </c>
      <c r="B681" t="s">
        <v>3163</v>
      </c>
      <c r="C681" s="57" t="s">
        <v>3043</v>
      </c>
      <c r="D681" s="59" t="str">
        <f>CONCATENATE("Documents\GitHub\Ozon_upload\barcode\punky monkey\set_numbers\numbers_white\", A681, ".pdf")</f>
        <v>Documents\GitHub\Ozon_upload\barcode\punky monkey\set_numbers\numbers_white\Термонаклейка номер большая белая цифра 0.pdf</v>
      </c>
      <c r="E681" s="60" t="str">
        <f>CONCATENATE("C:\Users\",username!A287,"\Documents\GitHub\Ozon_upload\DTF_images\max\A4\set_numbers\numbers_white\",C681,".tif")</f>
        <v>C:\Users\maxim\Documents\GitHub\Ozon_upload\DTF_images\max\A4\set_numbers\numbers_white\number_white0_20cm.tif</v>
      </c>
      <c r="F681" s="58">
        <v>1</v>
      </c>
      <c r="G681" s="58">
        <v>1</v>
      </c>
      <c r="H681" s="69" t="s">
        <v>3145</v>
      </c>
      <c r="I681" s="62" t="s">
        <v>3063</v>
      </c>
      <c r="J681" s="57"/>
      <c r="K681" s="57" t="s">
        <v>48</v>
      </c>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61" t="s">
        <v>623</v>
      </c>
    </row>
    <row r="682" spans="1:43" x14ac:dyDescent="0.2">
      <c r="A682" s="57" t="s">
        <v>3126</v>
      </c>
      <c r="B682" t="s">
        <v>3164</v>
      </c>
      <c r="C682" s="57" t="s">
        <v>3044</v>
      </c>
      <c r="D682" s="59" t="str">
        <f t="shared" ref="D682:D690" si="31">CONCATENATE("Documents\GitHub\Ozon_upload\barcode\punky monkey\set_numbers\numbers_white\", A682, ".pdf")</f>
        <v>Documents\GitHub\Ozon_upload\barcode\punky monkey\set_numbers\numbers_white\Термонаклейка номер большая белая цифра 1.pdf</v>
      </c>
      <c r="E682" s="60" t="str">
        <f>CONCATENATE("C:\Users\",username!A288,"\Documents\GitHub\Ozon_upload\DTF_images\max\A4\set_numbers\numbers_white\",C682,".tif")</f>
        <v>C:\Users\maxim\Documents\GitHub\Ozon_upload\DTF_images\max\A4\set_numbers\numbers_white\number_white1_20cm.tif</v>
      </c>
      <c r="F682" s="58">
        <v>1</v>
      </c>
      <c r="G682" s="58">
        <v>1</v>
      </c>
      <c r="H682" s="69" t="s">
        <v>3145</v>
      </c>
      <c r="I682" s="62" t="s">
        <v>3064</v>
      </c>
      <c r="J682" s="57"/>
      <c r="K682" s="57" t="s">
        <v>48</v>
      </c>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61" t="s">
        <v>623</v>
      </c>
    </row>
    <row r="683" spans="1:43" x14ac:dyDescent="0.2">
      <c r="A683" s="57" t="s">
        <v>3125</v>
      </c>
      <c r="B683" t="s">
        <v>3165</v>
      </c>
      <c r="C683" s="57" t="s">
        <v>3045</v>
      </c>
      <c r="D683" s="59" t="str">
        <f t="shared" si="31"/>
        <v>Documents\GitHub\Ozon_upload\barcode\punky monkey\set_numbers\numbers_white\Термонаклейка номер большая белая цифра 2.pdf</v>
      </c>
      <c r="E683" s="60" t="str">
        <f>CONCATENATE("C:\Users\",username!A289,"\Documents\GitHub\Ozon_upload\DTF_images\max\A4\set_numbers\numbers_white\",C683,".tif")</f>
        <v>C:\Users\maxim\Documents\GitHub\Ozon_upload\DTF_images\max\A4\set_numbers\numbers_white\number_white2_20cm.tif</v>
      </c>
      <c r="F683" s="58">
        <v>1</v>
      </c>
      <c r="G683" s="58">
        <v>1</v>
      </c>
      <c r="H683" s="69" t="s">
        <v>3145</v>
      </c>
      <c r="I683" s="62" t="s">
        <v>3065</v>
      </c>
      <c r="J683" s="57"/>
      <c r="K683" s="57" t="s">
        <v>48</v>
      </c>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61" t="s">
        <v>623</v>
      </c>
    </row>
    <row r="684" spans="1:43" x14ac:dyDescent="0.2">
      <c r="A684" s="57" t="s">
        <v>3124</v>
      </c>
      <c r="B684" t="s">
        <v>3166</v>
      </c>
      <c r="C684" s="57" t="s">
        <v>3046</v>
      </c>
      <c r="D684" s="59" t="str">
        <f t="shared" si="31"/>
        <v>Documents\GitHub\Ozon_upload\barcode\punky monkey\set_numbers\numbers_white\Термонаклейка номер большая белая цифра 3.pdf</v>
      </c>
      <c r="E684" s="60" t="str">
        <f>CONCATENATE("C:\Users\",username!A290,"\Documents\GitHub\Ozon_upload\DTF_images\max\A4\set_numbers\numbers_white\",C684,".tif")</f>
        <v>C:\Users\maxim\Documents\GitHub\Ozon_upload\DTF_images\max\A4\set_numbers\numbers_white\number_white3_20cm.tif</v>
      </c>
      <c r="F684" s="58">
        <v>1</v>
      </c>
      <c r="G684" s="58">
        <v>1</v>
      </c>
      <c r="H684" s="69" t="s">
        <v>3145</v>
      </c>
      <c r="I684" s="62" t="s">
        <v>3066</v>
      </c>
      <c r="J684" s="57"/>
      <c r="K684" s="57" t="s">
        <v>48</v>
      </c>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61" t="s">
        <v>623</v>
      </c>
    </row>
    <row r="685" spans="1:43" x14ac:dyDescent="0.2">
      <c r="A685" s="57" t="s">
        <v>3123</v>
      </c>
      <c r="B685" t="s">
        <v>3167</v>
      </c>
      <c r="C685" s="57" t="s">
        <v>3047</v>
      </c>
      <c r="D685" s="59" t="str">
        <f t="shared" si="31"/>
        <v>Documents\GitHub\Ozon_upload\barcode\punky monkey\set_numbers\numbers_white\Термонаклейка номер большая белая цифра 4.pdf</v>
      </c>
      <c r="E685" s="60" t="str">
        <f>CONCATENATE("C:\Users\",username!A291,"\Documents\GitHub\Ozon_upload\DTF_images\max\A4\set_numbers\numbers_white\",C685,".tif")</f>
        <v>C:\Users\maxim\Documents\GitHub\Ozon_upload\DTF_images\max\A4\set_numbers\numbers_white\number_white4_20cm.tif</v>
      </c>
      <c r="F685" s="58">
        <v>1</v>
      </c>
      <c r="G685" s="58">
        <v>1</v>
      </c>
      <c r="H685" s="69" t="s">
        <v>3145</v>
      </c>
      <c r="I685" s="62" t="s">
        <v>3067</v>
      </c>
      <c r="J685" s="57"/>
      <c r="K685" s="57" t="s">
        <v>48</v>
      </c>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61" t="s">
        <v>623</v>
      </c>
    </row>
    <row r="686" spans="1:43" x14ac:dyDescent="0.2">
      <c r="A686" s="57" t="s">
        <v>3122</v>
      </c>
      <c r="B686" t="s">
        <v>3168</v>
      </c>
      <c r="C686" s="57" t="s">
        <v>3048</v>
      </c>
      <c r="D686" s="59" t="str">
        <f t="shared" si="31"/>
        <v>Documents\GitHub\Ozon_upload\barcode\punky monkey\set_numbers\numbers_white\Термонаклейка номер большая белая цифра 5.pdf</v>
      </c>
      <c r="E686" s="60" t="str">
        <f>CONCATENATE("C:\Users\",username!A292,"\Documents\GitHub\Ozon_upload\DTF_images\max\A4\set_numbers\numbers_white\",C686,".tif")</f>
        <v>C:\Users\maxim\Documents\GitHub\Ozon_upload\DTF_images\max\A4\set_numbers\numbers_white\number_white5_20cm.tif</v>
      </c>
      <c r="F686" s="58">
        <v>1</v>
      </c>
      <c r="G686" s="58">
        <v>1</v>
      </c>
      <c r="H686" s="69" t="s">
        <v>3145</v>
      </c>
      <c r="I686" s="62" t="s">
        <v>3068</v>
      </c>
      <c r="J686" s="57"/>
      <c r="K686" s="57" t="s">
        <v>48</v>
      </c>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61" t="s">
        <v>623</v>
      </c>
    </row>
    <row r="687" spans="1:43" x14ac:dyDescent="0.2">
      <c r="A687" s="57" t="s">
        <v>3121</v>
      </c>
      <c r="B687" t="s">
        <v>3169</v>
      </c>
      <c r="C687" s="57" t="s">
        <v>3049</v>
      </c>
      <c r="D687" s="59" t="str">
        <f t="shared" si="31"/>
        <v>Documents\GitHub\Ozon_upload\barcode\punky monkey\set_numbers\numbers_white\Термонаклейка номер большая белая цифра 6.pdf</v>
      </c>
      <c r="E687" s="60" t="str">
        <f>CONCATENATE("C:\Users\",username!A293,"\Documents\GitHub\Ozon_upload\DTF_images\max\A4\set_numbers\numbers_white\",C687,".tif")</f>
        <v>C:\Users\maxim\Documents\GitHub\Ozon_upload\DTF_images\max\A4\set_numbers\numbers_white\number_white6_20cm.tif</v>
      </c>
      <c r="F687" s="58">
        <v>1</v>
      </c>
      <c r="G687" s="58">
        <v>1</v>
      </c>
      <c r="H687" s="69" t="s">
        <v>3145</v>
      </c>
      <c r="I687" s="62" t="s">
        <v>3069</v>
      </c>
      <c r="J687" s="57"/>
      <c r="K687" s="57" t="s">
        <v>48</v>
      </c>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61" t="s">
        <v>623</v>
      </c>
    </row>
    <row r="688" spans="1:43" x14ac:dyDescent="0.2">
      <c r="A688" s="57" t="s">
        <v>3120</v>
      </c>
      <c r="B688" t="s">
        <v>3170</v>
      </c>
      <c r="C688" s="57" t="s">
        <v>3050</v>
      </c>
      <c r="D688" s="59" t="str">
        <f t="shared" si="31"/>
        <v>Documents\GitHub\Ozon_upload\barcode\punky monkey\set_numbers\numbers_white\Термонаклейка номер большая белая цифра 7.pdf</v>
      </c>
      <c r="E688" s="60" t="str">
        <f>CONCATENATE("C:\Users\",username!A294,"\Documents\GitHub\Ozon_upload\DTF_images\max\A4\set_numbers\numbers_white\",C688,".tif")</f>
        <v>C:\Users\maxim\Documents\GitHub\Ozon_upload\DTF_images\max\A4\set_numbers\numbers_white\number_white7_20cm.tif</v>
      </c>
      <c r="F688" s="58">
        <v>1</v>
      </c>
      <c r="G688" s="58">
        <v>1</v>
      </c>
      <c r="H688" s="69" t="s">
        <v>3145</v>
      </c>
      <c r="I688" s="62" t="s">
        <v>3070</v>
      </c>
      <c r="J688" s="57"/>
      <c r="K688" s="57" t="s">
        <v>48</v>
      </c>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61" t="s">
        <v>623</v>
      </c>
    </row>
    <row r="689" spans="1:43" x14ac:dyDescent="0.2">
      <c r="A689" s="57" t="s">
        <v>3119</v>
      </c>
      <c r="B689" t="s">
        <v>3171</v>
      </c>
      <c r="C689" s="57" t="s">
        <v>3051</v>
      </c>
      <c r="D689" s="59" t="str">
        <f t="shared" si="31"/>
        <v>Documents\GitHub\Ozon_upload\barcode\punky monkey\set_numbers\numbers_white\Термонаклейка номер большая белая цифра 8.pdf</v>
      </c>
      <c r="E689" s="60" t="str">
        <f>CONCATENATE("C:\Users\",username!A295,"\Documents\GitHub\Ozon_upload\DTF_images\max\A4\set_numbers\numbers_white\",C689,".tif")</f>
        <v>C:\Users\maxim\Documents\GitHub\Ozon_upload\DTF_images\max\A4\set_numbers\numbers_white\number_white8_20cm.tif</v>
      </c>
      <c r="F689" s="58">
        <v>1</v>
      </c>
      <c r="G689" s="58">
        <v>1</v>
      </c>
      <c r="H689" s="69" t="s">
        <v>3145</v>
      </c>
      <c r="I689" s="62" t="s">
        <v>3071</v>
      </c>
      <c r="J689" s="57"/>
      <c r="K689" s="57" t="s">
        <v>48</v>
      </c>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61" t="s">
        <v>623</v>
      </c>
    </row>
    <row r="690" spans="1:43" x14ac:dyDescent="0.2">
      <c r="A690" s="57" t="s">
        <v>3118</v>
      </c>
      <c r="B690" t="s">
        <v>3172</v>
      </c>
      <c r="C690" s="57" t="s">
        <v>3052</v>
      </c>
      <c r="D690" s="59" t="str">
        <f t="shared" si="31"/>
        <v>Documents\GitHub\Ozon_upload\barcode\punky monkey\set_numbers\numbers_white\Термонаклейка номер большая белая цифра 9.pdf</v>
      </c>
      <c r="E690" s="60" t="str">
        <f>CONCATENATE("C:\Users\",username!A296,"\Documents\GitHub\Ozon_upload\DTF_images\max\A4\set_numbers\numbers_white\",C690,".tif")</f>
        <v>C:\Users\maxim\Documents\GitHub\Ozon_upload\DTF_images\max\A4\set_numbers\numbers_white\number_white9_20cm.tif</v>
      </c>
      <c r="F690" s="58">
        <v>1</v>
      </c>
      <c r="G690" s="58">
        <v>1</v>
      </c>
      <c r="H690" s="69" t="s">
        <v>3145</v>
      </c>
      <c r="I690" s="62" t="s">
        <v>3072</v>
      </c>
      <c r="J690" s="57"/>
      <c r="K690" s="57" t="s">
        <v>48</v>
      </c>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61" t="s">
        <v>623</v>
      </c>
    </row>
    <row r="691" spans="1:43" x14ac:dyDescent="0.2">
      <c r="A691" s="63" t="s">
        <v>3143</v>
      </c>
      <c r="B691" t="s">
        <v>3173</v>
      </c>
      <c r="C691" s="63" t="s">
        <v>3073</v>
      </c>
      <c r="D691" s="64" t="str">
        <f>CONCATENATE("Documents\GitHub\Ozon_upload\barcode\punky monkey\set_cartoon_boundles\", A691, ".pdf")</f>
        <v>Documents\GitHub\Ozon_upload\barcode\punky monkey\set_cartoon_boundles\Термонаклейка набор Лабубу Labubu.pdf</v>
      </c>
      <c r="E691" s="65" t="str">
        <f>CONCATENATE("C:\Users\",username!A297,"\Documents\GitHub\Ozon_upload\DTF_images\max\A4\set_cartoon_boundles\",C691,".tif")</f>
        <v>C:\Users\maxim\Documents\GitHub\Ozon_upload\DTF_images\max\A4\set_cartoon_boundles\set3_002_labubu.tif</v>
      </c>
      <c r="F691" s="67">
        <v>1</v>
      </c>
      <c r="G691" s="67">
        <v>1</v>
      </c>
      <c r="H691" s="69" t="s">
        <v>3146</v>
      </c>
      <c r="I691" s="66" t="s">
        <v>3090</v>
      </c>
      <c r="J691" s="63"/>
      <c r="K691" s="63" t="s">
        <v>48</v>
      </c>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8" t="s">
        <v>623</v>
      </c>
    </row>
    <row r="692" spans="1:43" x14ac:dyDescent="0.2">
      <c r="A692" s="63" t="s">
        <v>3140</v>
      </c>
      <c r="B692" t="s">
        <v>3174</v>
      </c>
      <c r="C692" s="63" t="s">
        <v>3074</v>
      </c>
      <c r="D692" s="64" t="str">
        <f t="shared" ref="D692:D709" si="32">CONCATENATE("Documents\GitHub\Ozon_upload\barcode\punky monkey\set_cartoon_boundles\", A692, ".pdf")</f>
        <v>Documents\GitHub\Ozon_upload\barcode\punky monkey\set_cartoon_boundles\Термонаклейка набор Лило и Стич в1.pdf</v>
      </c>
      <c r="E692" s="65" t="str">
        <f>CONCATENATE("C:\Users\",username!A298,"\Documents\GitHub\Ozon_upload\DTF_images\max\A4\set_cartoon_boundles\",C692,".tif")</f>
        <v>C:\Users\maxim\Documents\GitHub\Ozon_upload\DTF_images\max\A4\set_cartoon_boundles\set3_004_stitch.tif</v>
      </c>
      <c r="F692" s="67">
        <v>1</v>
      </c>
      <c r="G692" s="67">
        <v>1</v>
      </c>
      <c r="H692" s="69" t="s">
        <v>3146</v>
      </c>
      <c r="I692" s="66" t="s">
        <v>3091</v>
      </c>
      <c r="J692" s="63"/>
      <c r="K692" s="63" t="s">
        <v>48</v>
      </c>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8" t="s">
        <v>623</v>
      </c>
    </row>
    <row r="693" spans="1:43" x14ac:dyDescent="0.2">
      <c r="A693" s="63" t="s">
        <v>3138</v>
      </c>
      <c r="B693" t="s">
        <v>3175</v>
      </c>
      <c r="C693" s="63" t="s">
        <v>3076</v>
      </c>
      <c r="D693" s="64" t="str">
        <f t="shared" si="32"/>
        <v>Documents\GitHub\Ozon_upload\barcode\punky monkey\set_cartoon_boundles\Термонаклейка набор Соник ёжик Sonic 2D в1.pdf</v>
      </c>
      <c r="E693" s="65" t="str">
        <f>CONCATENATE("C:\Users\",username!A299,"\Documents\GitHub\Ozon_upload\DTF_images\max\A4\set_cartoon_boundles\",C693,".tif")</f>
        <v>C:\Users\maxim\Documents\GitHub\Ozon_upload\DTF_images\max\A4\set_cartoon_boundles\set3_008_sonic2D.tif</v>
      </c>
      <c r="F693" s="67">
        <v>1</v>
      </c>
      <c r="G693" s="67">
        <v>1</v>
      </c>
      <c r="H693" s="69" t="s">
        <v>3146</v>
      </c>
      <c r="I693" s="66" t="s">
        <v>3093</v>
      </c>
      <c r="J693" s="63"/>
      <c r="K693" s="63" t="s">
        <v>48</v>
      </c>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8" t="s">
        <v>623</v>
      </c>
    </row>
    <row r="694" spans="1:43" x14ac:dyDescent="0.2">
      <c r="A694" s="63" t="s">
        <v>3134</v>
      </c>
      <c r="B694" t="s">
        <v>3176</v>
      </c>
      <c r="C694" s="63" t="s">
        <v>3081</v>
      </c>
      <c r="D694" s="64" t="str">
        <f t="shared" si="32"/>
        <v>Documents\GitHub\Ozon_upload\barcode\punky monkey\set_cartoon_boundles\Термонаклейка набор Тачки Hot Wheels.pdf</v>
      </c>
      <c r="E694" s="65" t="str">
        <f>CONCATENATE("C:\Users\",username!A300,"\Documents\GitHub\Ozon_upload\DTF_images\max\A4\set_cartoon_boundles\",C694,".tif")</f>
        <v>C:\Users\maxim\Documents\GitHub\Ozon_upload\DTF_images\max\A4\set_cartoon_boundles\set3_019_hotwheels.tif</v>
      </c>
      <c r="F694" s="67">
        <v>1</v>
      </c>
      <c r="G694" s="67">
        <v>1</v>
      </c>
      <c r="H694" s="69" t="s">
        <v>3146</v>
      </c>
      <c r="I694" s="66" t="s">
        <v>3098</v>
      </c>
      <c r="J694" s="63"/>
      <c r="K694" s="63" t="s">
        <v>48</v>
      </c>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8" t="s">
        <v>623</v>
      </c>
    </row>
    <row r="695" spans="1:43" x14ac:dyDescent="0.2">
      <c r="A695" s="63" t="s">
        <v>3149</v>
      </c>
      <c r="B695" t="s">
        <v>3177</v>
      </c>
      <c r="C695" s="63" t="s">
        <v>3078</v>
      </c>
      <c r="D695" s="64" t="str">
        <f t="shared" si="32"/>
        <v>Documents\GitHub\Ozon_upload\barcode\punky monkey\set_cartoon_boundles\Термонаклейка набор Человек-Паук Майлс spider-man.pdf</v>
      </c>
      <c r="E695" s="65" t="str">
        <f>CONCATENATE("C:\Users\",username!A301,"\Documents\GitHub\Ozon_upload\DTF_images\max\A4\set_cartoon_boundles\",C695,".tif")</f>
        <v>C:\Users\maxim\Documents\GitHub\Ozon_upload\DTF_images\max\A4\set_cartoon_boundles\set3_010_spiderNew.tif</v>
      </c>
      <c r="F695" s="67">
        <v>1</v>
      </c>
      <c r="G695" s="67">
        <v>1</v>
      </c>
      <c r="H695" s="69" t="s">
        <v>3146</v>
      </c>
      <c r="I695" s="66" t="s">
        <v>3095</v>
      </c>
      <c r="J695" s="63"/>
      <c r="K695" s="63" t="s">
        <v>48</v>
      </c>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8" t="s">
        <v>623</v>
      </c>
    </row>
    <row r="696" spans="1:43" x14ac:dyDescent="0.2">
      <c r="A696" s="63" t="s">
        <v>3137</v>
      </c>
      <c r="B696" t="s">
        <v>3178</v>
      </c>
      <c r="C696" s="63" t="s">
        <v>3079</v>
      </c>
      <c r="D696" s="64" t="str">
        <f t="shared" si="32"/>
        <v>Documents\GitHub\Ozon_upload\barcode\punky monkey\set_cartoon_boundles\Термонаклейка набор Милые Котики в1.pdf</v>
      </c>
      <c r="E696" s="65" t="str">
        <f>CONCATENATE("C:\Users\",username!A302,"\Documents\GitHub\Ozon_upload\DTF_images\max\A4\set_cartoon_boundles\",C696,".tif")</f>
        <v>C:\Users\maxim\Documents\GitHub\Ozon_upload\DTF_images\max\A4\set_cartoon_boundles\set3_011_cats.tif</v>
      </c>
      <c r="F696" s="67">
        <v>1</v>
      </c>
      <c r="G696" s="67">
        <v>1</v>
      </c>
      <c r="H696" s="69" t="s">
        <v>3146</v>
      </c>
      <c r="I696" s="66" t="s">
        <v>3096</v>
      </c>
      <c r="J696" s="63"/>
      <c r="K696" s="63" t="s">
        <v>48</v>
      </c>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8" t="s">
        <v>623</v>
      </c>
    </row>
    <row r="697" spans="1:43" x14ac:dyDescent="0.2">
      <c r="A697" s="63" t="s">
        <v>3109</v>
      </c>
      <c r="B697" t="s">
        <v>3179</v>
      </c>
      <c r="C697" s="63" t="s">
        <v>3080</v>
      </c>
      <c r="D697" s="64" t="str">
        <f t="shared" si="32"/>
        <v>Documents\GitHub\Ozon_upload\barcode\punky monkey\set_cartoon_boundles\Термонаклейка набор Лего Lego.pdf</v>
      </c>
      <c r="E697" s="65" t="str">
        <f>CONCATENATE("C:\Users\",username!A303,"\Documents\GitHub\Ozon_upload\DTF_images\max\A4\set_cartoon_boundles\",C697,".tif")</f>
        <v>C:\Users\maxim\Documents\GitHub\Ozon_upload\DTF_images\max\A4\set_cartoon_boundles\set3_017_lego.tif</v>
      </c>
      <c r="F697" s="67">
        <v>1</v>
      </c>
      <c r="G697" s="67">
        <v>1</v>
      </c>
      <c r="H697" s="69" t="s">
        <v>3146</v>
      </c>
      <c r="I697" s="66" t="s">
        <v>3097</v>
      </c>
      <c r="J697" s="63"/>
      <c r="K697" s="63" t="s">
        <v>48</v>
      </c>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8" t="s">
        <v>623</v>
      </c>
    </row>
    <row r="698" spans="1:43" x14ac:dyDescent="0.2">
      <c r="A698" s="63" t="s">
        <v>3110</v>
      </c>
      <c r="B698" t="s">
        <v>3180</v>
      </c>
      <c r="C698" s="63" t="s">
        <v>3082</v>
      </c>
      <c r="D698" s="64" t="str">
        <f>CONCATENATE("Documents\GitHub\Ozon_upload\barcode\punky monkey\set_cartoon_boundles\", A698, ".pdf")</f>
        <v>Documents\GitHub\Ozon_upload\barcode\punky monkey\set_cartoon_boundles\Термонаклейка набор Тачки Cars в1.pdf</v>
      </c>
      <c r="E698" s="65" t="str">
        <f>CONCATENATE("C:\Users\",username!A304,"\Documents\GitHub\Ozon_upload\DTF_images\max\A4\set_cartoon_boundles\",C698,".tif")</f>
        <v>C:\Users\maxim\Documents\GitHub\Ozon_upload\DTF_images\max\A4\set_cartoon_boundles\set3_020_car.tif</v>
      </c>
      <c r="F698" s="67">
        <v>1</v>
      </c>
      <c r="G698" s="67">
        <v>1</v>
      </c>
      <c r="H698" s="69" t="s">
        <v>3146</v>
      </c>
      <c r="I698" s="66" t="s">
        <v>3099</v>
      </c>
      <c r="J698" s="63"/>
      <c r="K698" s="63" t="s">
        <v>48</v>
      </c>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8" t="s">
        <v>623</v>
      </c>
    </row>
    <row r="699" spans="1:43" x14ac:dyDescent="0.2">
      <c r="A699" s="63" t="s">
        <v>3141</v>
      </c>
      <c r="B699" t="s">
        <v>3181</v>
      </c>
      <c r="C699" s="63" t="s">
        <v>3083</v>
      </c>
      <c r="D699" s="64" t="str">
        <f t="shared" si="32"/>
        <v>Documents\GitHub\Ozon_upload\barcode\punky monkey\set_cartoon_boundles\Термонаклейка набор Хеллоу Китти Hello Kitty в1.pdf</v>
      </c>
      <c r="E699" s="65" t="str">
        <f>CONCATENATE("C:\Users\",username!A305,"\Documents\GitHub\Ozon_upload\DTF_images\max\A4\set_cartoon_boundles\",C699,".tif")</f>
        <v>C:\Users\maxim\Documents\GitHub\Ozon_upload\DTF_images\max\A4\set_cartoon_boundles\set3_022_kitty.tif</v>
      </c>
      <c r="F699" s="67">
        <v>1</v>
      </c>
      <c r="G699" s="67">
        <v>1</v>
      </c>
      <c r="H699" s="69" t="s">
        <v>3146</v>
      </c>
      <c r="I699" s="66" t="s">
        <v>3100</v>
      </c>
      <c r="J699" s="63"/>
      <c r="K699" s="63" t="s">
        <v>48</v>
      </c>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8" t="s">
        <v>623</v>
      </c>
    </row>
    <row r="700" spans="1:43" x14ac:dyDescent="0.2">
      <c r="A700" s="63" t="s">
        <v>3111</v>
      </c>
      <c r="B700" t="s">
        <v>3182</v>
      </c>
      <c r="C700" s="63" t="s">
        <v>3084</v>
      </c>
      <c r="D700" s="64" t="str">
        <f t="shared" si="32"/>
        <v>Documents\GitHub\Ozon_upload\barcode\punky monkey\set_cartoon_boundles\Термонаклейка набор Покемоны Pokemon 2D.pdf</v>
      </c>
      <c r="E700" s="65" t="str">
        <f>CONCATENATE("C:\Users\",username!A306,"\Documents\GitHub\Ozon_upload\DTF_images\max\A4\set_cartoon_boundles\",C700,".tif")</f>
        <v>C:\Users\maxim\Documents\GitHub\Ozon_upload\DTF_images\max\A4\set_cartoon_boundles\set3_025_pokemon.tif</v>
      </c>
      <c r="F700" s="67">
        <v>1</v>
      </c>
      <c r="G700" s="67">
        <v>1</v>
      </c>
      <c r="H700" s="69" t="s">
        <v>3146</v>
      </c>
      <c r="I700" s="66" t="s">
        <v>3101</v>
      </c>
      <c r="J700" s="63"/>
      <c r="K700" s="63" t="s">
        <v>48</v>
      </c>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8" t="s">
        <v>623</v>
      </c>
    </row>
    <row r="701" spans="1:43" x14ac:dyDescent="0.2">
      <c r="A701" s="63" t="s">
        <v>3133</v>
      </c>
      <c r="B701" t="s">
        <v>3183</v>
      </c>
      <c r="C701" s="63" t="s">
        <v>3085</v>
      </c>
      <c r="D701" s="64" t="str">
        <f t="shared" si="32"/>
        <v>Documents\GitHub\Ozon_upload\barcode\punky monkey\set_cartoon_boundles\Термонаклейка набор Майнкрафт Minecraft в1.pdf</v>
      </c>
      <c r="E701" s="65" t="str">
        <f>CONCATENATE("C:\Users\",username!A307,"\Documents\GitHub\Ozon_upload\DTF_images\max\A4\set_cartoon_boundles\",C701,".tif")</f>
        <v>C:\Users\maxim\Documents\GitHub\Ozon_upload\DTF_images\max\A4\set_cartoon_boundles\set3_minecraft1.tif</v>
      </c>
      <c r="F701" s="67">
        <v>1</v>
      </c>
      <c r="G701" s="67">
        <v>1</v>
      </c>
      <c r="H701" s="69" t="s">
        <v>3146</v>
      </c>
      <c r="I701" s="66" t="s">
        <v>3102</v>
      </c>
      <c r="J701" s="63"/>
      <c r="K701" s="63" t="s">
        <v>48</v>
      </c>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8" t="s">
        <v>623</v>
      </c>
    </row>
    <row r="702" spans="1:43" x14ac:dyDescent="0.2">
      <c r="A702" s="63" t="s">
        <v>3112</v>
      </c>
      <c r="B702" t="s">
        <v>3184</v>
      </c>
      <c r="C702" s="63" t="s">
        <v>3086</v>
      </c>
      <c r="D702" s="64" t="str">
        <f t="shared" si="32"/>
        <v>Documents\GitHub\Ozon_upload\barcode\punky monkey\set_cartoon_boundles\Термонаклейка набор Миньоны Minions 3D в1.pdf</v>
      </c>
      <c r="E702" s="65" t="str">
        <f>CONCATENATE("C:\Users\",username!A308,"\Documents\GitHub\Ozon_upload\DTF_images\max\A4\set_cartoon_boundles\",C702,".tif")</f>
        <v>C:\Users\maxim\Documents\GitHub\Ozon_upload\DTF_images\max\A4\set_cartoon_boundles\set3_minions2.tif</v>
      </c>
      <c r="F702" s="67">
        <v>1</v>
      </c>
      <c r="G702" s="67">
        <v>1</v>
      </c>
      <c r="H702" s="69" t="s">
        <v>3146</v>
      </c>
      <c r="I702" s="66" t="s">
        <v>3103</v>
      </c>
      <c r="J702" s="63"/>
      <c r="K702" s="63" t="s">
        <v>48</v>
      </c>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8" t="s">
        <v>623</v>
      </c>
    </row>
    <row r="703" spans="1:43" x14ac:dyDescent="0.2">
      <c r="A703" s="63" t="s">
        <v>3135</v>
      </c>
      <c r="B703" t="s">
        <v>3185</v>
      </c>
      <c r="C703" s="63" t="s">
        <v>3087</v>
      </c>
      <c r="D703" s="64" t="str">
        <f t="shared" si="32"/>
        <v>Documents\GitHub\Ozon_upload\barcode\punky monkey\set_cartoon_boundles\Термонаклейка набор Космос Космонавтика.pdf</v>
      </c>
      <c r="E703" s="65" t="str">
        <f>CONCATENATE("C:\Users\",username!A309,"\Documents\GitHub\Ozon_upload\DTF_images\max\A4\set_cartoon_boundles\",C703,".tif")</f>
        <v>C:\Users\maxim\Documents\GitHub\Ozon_upload\DTF_images\max\A4\set_cartoon_boundles\set3_Space1.tif</v>
      </c>
      <c r="F703" s="67">
        <v>1</v>
      </c>
      <c r="G703" s="67">
        <v>1</v>
      </c>
      <c r="H703" s="69" t="s">
        <v>3146</v>
      </c>
      <c r="I703" s="66" t="s">
        <v>3104</v>
      </c>
      <c r="J703" s="63"/>
      <c r="K703" s="63" t="s">
        <v>48</v>
      </c>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8" t="s">
        <v>623</v>
      </c>
    </row>
    <row r="704" spans="1:43" x14ac:dyDescent="0.2">
      <c r="A704" s="63" t="s">
        <v>3142</v>
      </c>
      <c r="B704" t="s">
        <v>3186</v>
      </c>
      <c r="C704" s="63" t="s">
        <v>3088</v>
      </c>
      <c r="D704" s="64" t="str">
        <f t="shared" si="32"/>
        <v>Documents\GitHub\Ozon_upload\barcode\punky monkey\set_cartoon_boundles\Термонаклейка набор Человек-Паук cartoon.pdf</v>
      </c>
      <c r="E704" s="65" t="str">
        <f>CONCATENATE("C:\Users\",username!A310,"\Documents\GitHub\Ozon_upload\DTF_images\max\A4\set_cartoon_boundles\",C704,".tif")</f>
        <v>C:\Users\maxim\Documents\GitHub\Ozon_upload\DTF_images\max\A4\set_cartoon_boundles\set3_spider_cartoon.tif</v>
      </c>
      <c r="F704" s="67">
        <v>1</v>
      </c>
      <c r="G704" s="67">
        <v>1</v>
      </c>
      <c r="H704" s="69" t="s">
        <v>3146</v>
      </c>
      <c r="I704" s="66" t="s">
        <v>3105</v>
      </c>
      <c r="J704" s="63"/>
      <c r="K704" s="63" t="s">
        <v>48</v>
      </c>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8" t="s">
        <v>623</v>
      </c>
    </row>
    <row r="705" spans="1:43" x14ac:dyDescent="0.2">
      <c r="A705" s="63" t="s">
        <v>3150</v>
      </c>
      <c r="B705" t="s">
        <v>3187</v>
      </c>
      <c r="C705" s="63" t="s">
        <v>3147</v>
      </c>
      <c r="D705" s="64" t="str">
        <f t="shared" si="32"/>
        <v>Documents\GitHub\Ozon_upload\barcode\punky monkey\set_cartoon_boundles\Термонаклейка набор Губка Спанч Боб Sponge Bob в1.pdf</v>
      </c>
      <c r="E705" s="65" t="str">
        <f>CONCATENATE("C:\Users\",username!A311,"\Documents\GitHub\Ozon_upload\DTF_images\max\A4\set_cartoon_boundles\",C705,".tif")</f>
        <v>C:\Users\maxim\Documents\GitHub\Ozon_upload\DTF_images\max\A4\set_cartoon_boundles\set3_Sponge_Bob.tif</v>
      </c>
      <c r="F705" s="67">
        <v>1</v>
      </c>
      <c r="G705" s="67">
        <v>1</v>
      </c>
      <c r="H705" s="69" t="s">
        <v>3146</v>
      </c>
      <c r="I705" s="66" t="s">
        <v>3106</v>
      </c>
      <c r="J705" s="63"/>
      <c r="K705" s="63" t="s">
        <v>48</v>
      </c>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8" t="s">
        <v>623</v>
      </c>
    </row>
    <row r="706" spans="1:43" x14ac:dyDescent="0.2">
      <c r="A706" s="63" t="s">
        <v>3151</v>
      </c>
      <c r="B706" t="s">
        <v>3188</v>
      </c>
      <c r="C706" s="63" t="s">
        <v>3089</v>
      </c>
      <c r="D706" s="64" t="str">
        <f t="shared" si="32"/>
        <v>Documents\GitHub\Ozon_upload\barcode\punky monkey\set_cartoon_boundles\Термонаклейка набор Черепашки ниндзя TMNT в2.pdf</v>
      </c>
      <c r="E706" s="65" t="str">
        <f>CONCATENATE("C:\Users\",username!A312,"\Documents\GitHub\Ozon_upload\DTF_images\max\A4\set_cartoon_boundles\",C706,".tif")</f>
        <v>C:\Users\maxim\Documents\GitHub\Ozon_upload\DTF_images\max\A4\set_cartoon_boundles\set3_tmnt_001.tif</v>
      </c>
      <c r="F706" s="67">
        <v>1</v>
      </c>
      <c r="G706" s="67">
        <v>1</v>
      </c>
      <c r="H706" s="69" t="s">
        <v>3146</v>
      </c>
      <c r="I706" s="66" t="s">
        <v>3107</v>
      </c>
      <c r="J706" s="63"/>
      <c r="K706" s="63" t="s">
        <v>48</v>
      </c>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8" t="s">
        <v>623</v>
      </c>
    </row>
    <row r="707" spans="1:43" x14ac:dyDescent="0.2">
      <c r="A707" s="63" t="s">
        <v>3152</v>
      </c>
      <c r="B707" t="s">
        <v>3189</v>
      </c>
      <c r="C707" s="63" t="s">
        <v>3148</v>
      </c>
      <c r="D707" s="64" t="str">
        <f t="shared" si="32"/>
        <v>Documents\GitHub\Ozon_upload\barcode\punky monkey\set_cartoon_boundles\Термонаклейка набор Том и Джерри Tom and Jerry в2.pdf</v>
      </c>
      <c r="E707" s="65" t="str">
        <f>CONCATENATE("C:\Users\",username!A313,"\Documents\GitHub\Ozon_upload\DTF_images\max\A4\set_cartoon_boundles\",C707,".tif")</f>
        <v>C:\Users\maxim\Documents\GitHub\Ozon_upload\DTF_images\max\A4\set_cartoon_boundles\set3_tom_and_jerry1.tif</v>
      </c>
      <c r="F707" s="67">
        <v>1</v>
      </c>
      <c r="G707" s="67">
        <v>1</v>
      </c>
      <c r="H707" s="69" t="s">
        <v>3146</v>
      </c>
      <c r="I707" s="66" t="s">
        <v>3108</v>
      </c>
      <c r="J707" s="63"/>
      <c r="K707" s="63" t="s">
        <v>48</v>
      </c>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8" t="s">
        <v>623</v>
      </c>
    </row>
    <row r="708" spans="1:43" x14ac:dyDescent="0.2">
      <c r="A708" s="63" t="s">
        <v>3139</v>
      </c>
      <c r="B708" t="s">
        <v>3190</v>
      </c>
      <c r="C708" s="63" t="s">
        <v>3075</v>
      </c>
      <c r="D708" s="64" t="str">
        <f t="shared" si="32"/>
        <v>Documents\GitHub\Ozon_upload\barcode\punky monkey\set_cartoon_boundles\Термонаклейка набор Соник ёжик Sonic 3D в1.pdf</v>
      </c>
      <c r="E708" s="65" t="str">
        <f>CONCATENATE("C:\Users\",username!A314,"\Documents\GitHub\Ozon_upload\DTF_images\max\A4\set_cartoon_boundles\",C708,".tif")</f>
        <v>C:\Users\maxim\Documents\GitHub\Ozon_upload\DTF_images\max\A4\set_cartoon_boundles\set3_007_sonic.tif</v>
      </c>
      <c r="F708" s="67">
        <v>1</v>
      </c>
      <c r="G708" s="67">
        <v>1</v>
      </c>
      <c r="H708" s="69" t="s">
        <v>3146</v>
      </c>
      <c r="I708" s="66" t="s">
        <v>3092</v>
      </c>
      <c r="J708" s="63"/>
      <c r="K708" s="63" t="s">
        <v>48</v>
      </c>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8" t="s">
        <v>623</v>
      </c>
    </row>
    <row r="709" spans="1:43" x14ac:dyDescent="0.2">
      <c r="A709" s="63" t="s">
        <v>3136</v>
      </c>
      <c r="B709" t="s">
        <v>3191</v>
      </c>
      <c r="C709" s="63" t="s">
        <v>3077</v>
      </c>
      <c r="D709" s="64" t="str">
        <f t="shared" si="32"/>
        <v>Documents\GitHub\Ozon_upload\barcode\punky monkey\set_cartoon_boundles\Термонаклейка набор Человек-Паук Spider-man 2D в1.pdf</v>
      </c>
      <c r="E709" s="65" t="str">
        <f>CONCATENATE("C:\Users\",username!A315,"\Documents\GitHub\Ozon_upload\DTF_images\max\A4\set_cartoon_boundles\",C709,".tif")</f>
        <v>C:\Users\maxim\Documents\GitHub\Ozon_upload\DTF_images\max\A4\set_cartoon_boundles\set3_009_spider2D.tif</v>
      </c>
      <c r="F709" s="67">
        <v>1</v>
      </c>
      <c r="G709" s="67">
        <v>1</v>
      </c>
      <c r="H709" s="69" t="s">
        <v>3146</v>
      </c>
      <c r="I709" s="66" t="s">
        <v>3094</v>
      </c>
      <c r="J709" s="63"/>
      <c r="K709" s="63" t="s">
        <v>48</v>
      </c>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8" t="s">
        <v>623</v>
      </c>
    </row>
    <row r="743" spans="9:11" x14ac:dyDescent="0.2">
      <c r="I743" s="1" t="s">
        <v>622</v>
      </c>
      <c r="K743" s="1" t="s">
        <v>48</v>
      </c>
    </row>
    <row r="770" spans="1:43" x14ac:dyDescent="0.2">
      <c r="A770" s="9" t="s">
        <v>2886</v>
      </c>
      <c r="B770" s="1" t="s">
        <v>2887</v>
      </c>
      <c r="D770" s="1" t="str">
        <f t="shared" ref="D770:D801" si="33">CONCATENATE("Documents\GitHub\Ozon_upload\barcode\футболки\", A770, ".pdf")</f>
        <v>Documents\GitHub\Ozon_upload\barcode\футболки\Футболка Человек паук Spiderman р92.pdf</v>
      </c>
      <c r="I770" s="1" t="s">
        <v>622</v>
      </c>
      <c r="K770" s="1" t="s">
        <v>48</v>
      </c>
      <c r="AQ770" s="2" t="s">
        <v>2888</v>
      </c>
    </row>
    <row r="771" spans="1:43" x14ac:dyDescent="0.2">
      <c r="A771" s="9" t="s">
        <v>2889</v>
      </c>
      <c r="B771" s="1" t="s">
        <v>2890</v>
      </c>
      <c r="D771" s="1" t="str">
        <f t="shared" si="33"/>
        <v>Documents\GitHub\Ozon_upload\barcode\футболки\Футболка Человек паук Spiderman р98.pdf</v>
      </c>
      <c r="I771" s="1" t="s">
        <v>622</v>
      </c>
      <c r="K771" s="1" t="s">
        <v>48</v>
      </c>
      <c r="AQ771" s="2" t="s">
        <v>2888</v>
      </c>
    </row>
    <row r="772" spans="1:43" x14ac:dyDescent="0.2">
      <c r="A772" s="9" t="s">
        <v>2891</v>
      </c>
      <c r="B772" s="1" t="s">
        <v>2892</v>
      </c>
      <c r="D772" s="1" t="str">
        <f t="shared" si="33"/>
        <v>Documents\GitHub\Ozon_upload\barcode\футболки\Футболка Человек паук Spiderman р104.pdf</v>
      </c>
      <c r="I772" s="1" t="s">
        <v>622</v>
      </c>
      <c r="K772" s="1" t="s">
        <v>48</v>
      </c>
      <c r="AQ772" s="2" t="s">
        <v>2888</v>
      </c>
    </row>
    <row r="773" spans="1:43" x14ac:dyDescent="0.2">
      <c r="A773" s="9" t="s">
        <v>2893</v>
      </c>
      <c r="B773" s="1" t="s">
        <v>2894</v>
      </c>
      <c r="D773" s="1" t="str">
        <f t="shared" si="33"/>
        <v>Documents\GitHub\Ozon_upload\barcode\футболки\Футболка Человек паук Spiderman р110.pdf</v>
      </c>
      <c r="I773" s="1" t="s">
        <v>622</v>
      </c>
      <c r="K773" s="1" t="s">
        <v>48</v>
      </c>
      <c r="AQ773" s="2" t="s">
        <v>2888</v>
      </c>
    </row>
    <row r="774" spans="1:43" x14ac:dyDescent="0.2">
      <c r="A774" s="9" t="s">
        <v>2895</v>
      </c>
      <c r="B774" s="1" t="s">
        <v>2896</v>
      </c>
      <c r="D774" s="1" t="str">
        <f t="shared" si="33"/>
        <v>Documents\GitHub\Ozon_upload\barcode\футболки\Футболка Человек паук Spiderman р116.pdf</v>
      </c>
      <c r="I774" s="1" t="s">
        <v>622</v>
      </c>
      <c r="K774" s="1" t="s">
        <v>48</v>
      </c>
      <c r="AQ774" s="2" t="s">
        <v>2888</v>
      </c>
    </row>
    <row r="775" spans="1:43" x14ac:dyDescent="0.2">
      <c r="A775" s="9" t="s">
        <v>2897</v>
      </c>
      <c r="B775" s="1" t="s">
        <v>2898</v>
      </c>
      <c r="D775" s="1" t="str">
        <f t="shared" si="33"/>
        <v>Documents\GitHub\Ozon_upload\barcode\футболки\Футболка Человек паук Spiderman р122.pdf</v>
      </c>
      <c r="I775" s="1" t="s">
        <v>622</v>
      </c>
      <c r="K775" s="1" t="s">
        <v>48</v>
      </c>
      <c r="AQ775" s="2" t="s">
        <v>2888</v>
      </c>
    </row>
    <row r="776" spans="1:43" x14ac:dyDescent="0.2">
      <c r="A776" s="9" t="s">
        <v>2899</v>
      </c>
      <c r="B776" s="1" t="s">
        <v>2900</v>
      </c>
      <c r="D776" s="1" t="str">
        <f t="shared" si="33"/>
        <v>Documents\GitHub\Ozon_upload\barcode\футболки\Футболка Человек паук Spiderman р128.pdf</v>
      </c>
      <c r="I776" s="1" t="s">
        <v>622</v>
      </c>
      <c r="K776" s="1" t="s">
        <v>48</v>
      </c>
      <c r="AQ776" s="2" t="s">
        <v>2888</v>
      </c>
    </row>
    <row r="777" spans="1:43" x14ac:dyDescent="0.2">
      <c r="A777" s="9" t="s">
        <v>2901</v>
      </c>
      <c r="B777" s="1" t="s">
        <v>2902</v>
      </c>
      <c r="D777" s="1" t="str">
        <f t="shared" si="33"/>
        <v>Documents\GitHub\Ozon_upload\barcode\футболки\Футболка Человек паук Spiderman р134.pdf</v>
      </c>
      <c r="I777" s="1" t="s">
        <v>622</v>
      </c>
      <c r="K777" s="1" t="s">
        <v>48</v>
      </c>
      <c r="AQ777" s="2" t="s">
        <v>2888</v>
      </c>
    </row>
    <row r="778" spans="1:43" x14ac:dyDescent="0.2">
      <c r="A778" s="9" t="s">
        <v>2903</v>
      </c>
      <c r="B778" s="1" t="s">
        <v>2904</v>
      </c>
      <c r="D778" s="1" t="str">
        <f t="shared" si="33"/>
        <v>Documents\GitHub\Ozon_upload\barcode\футболки\Футболка Русалочка с надписью. Крылышко. р92.pdf</v>
      </c>
      <c r="I778" s="1" t="s">
        <v>622</v>
      </c>
      <c r="K778" s="1" t="s">
        <v>48</v>
      </c>
      <c r="AQ778" s="2" t="s">
        <v>2888</v>
      </c>
    </row>
    <row r="779" spans="1:43" x14ac:dyDescent="0.2">
      <c r="A779" s="9" t="s">
        <v>2905</v>
      </c>
      <c r="B779" s="1" t="s">
        <v>2906</v>
      </c>
      <c r="D779" s="1" t="str">
        <f t="shared" si="33"/>
        <v>Documents\GitHub\Ozon_upload\barcode\футболки\Футболка Русалочка с надписью. Крылышко. р104.pdf</v>
      </c>
      <c r="I779" s="1" t="s">
        <v>622</v>
      </c>
      <c r="K779" s="1" t="s">
        <v>48</v>
      </c>
      <c r="AQ779" s="2" t="s">
        <v>2888</v>
      </c>
    </row>
    <row r="780" spans="1:43" x14ac:dyDescent="0.2">
      <c r="A780" s="9" t="s">
        <v>2907</v>
      </c>
      <c r="B780" s="1" t="s">
        <v>2908</v>
      </c>
      <c r="D780" s="1" t="str">
        <f t="shared" si="33"/>
        <v>Documents\GitHub\Ozon_upload\barcode\футболки\Футболка Русалочка с надписью. Крылышко. р122.pdf</v>
      </c>
      <c r="I780" s="1" t="s">
        <v>622</v>
      </c>
      <c r="K780" s="1" t="s">
        <v>48</v>
      </c>
      <c r="AQ780" s="2" t="s">
        <v>2888</v>
      </c>
    </row>
    <row r="781" spans="1:43" x14ac:dyDescent="0.2">
      <c r="A781" s="9" t="s">
        <v>2909</v>
      </c>
      <c r="B781" s="1" t="s">
        <v>2910</v>
      </c>
      <c r="D781" s="1" t="str">
        <f t="shared" si="33"/>
        <v>Documents\GitHub\Ozon_upload\barcode\футболки\Футболка Русалочка с надписью. Крылышко. р98.pdf</v>
      </c>
      <c r="I781" s="1" t="s">
        <v>622</v>
      </c>
      <c r="K781" s="1" t="s">
        <v>48</v>
      </c>
      <c r="AQ781" s="2" t="s">
        <v>2888</v>
      </c>
    </row>
    <row r="782" spans="1:43" x14ac:dyDescent="0.2">
      <c r="A782" s="9" t="s">
        <v>2911</v>
      </c>
      <c r="B782" s="1" t="s">
        <v>2912</v>
      </c>
      <c r="D782" s="1" t="str">
        <f t="shared" si="33"/>
        <v>Documents\GitHub\Ozon_upload\barcode\футболки\Футболка Русалочка с надписью. Крылышко. р116.pdf</v>
      </c>
      <c r="I782" s="1" t="s">
        <v>622</v>
      </c>
      <c r="K782" s="1" t="s">
        <v>48</v>
      </c>
      <c r="AQ782" s="2" t="s">
        <v>2888</v>
      </c>
    </row>
    <row r="783" spans="1:43" x14ac:dyDescent="0.2">
      <c r="A783" s="9" t="s">
        <v>2913</v>
      </c>
      <c r="B783" s="1" t="s">
        <v>2914</v>
      </c>
      <c r="D783" s="1" t="str">
        <f t="shared" si="33"/>
        <v>Documents\GitHub\Ozon_upload\barcode\футболки\Футболка Русалочка с надписью. Крылышко. р110.pdf</v>
      </c>
      <c r="I783" s="1" t="s">
        <v>622</v>
      </c>
      <c r="K783" s="1" t="s">
        <v>48</v>
      </c>
      <c r="AQ783" s="2" t="s">
        <v>2888</v>
      </c>
    </row>
    <row r="784" spans="1:43" x14ac:dyDescent="0.2">
      <c r="A784" s="9" t="s">
        <v>2915</v>
      </c>
      <c r="B784" s="1" t="s">
        <v>2916</v>
      </c>
      <c r="D784" s="1" t="str">
        <f t="shared" si="33"/>
        <v>Documents\GitHub\Ozon_upload\barcode\футболки\Футболка Девочка с лошадью. Рукав крылышко. р92.pdf</v>
      </c>
      <c r="I784" s="1" t="s">
        <v>622</v>
      </c>
      <c r="K784" s="1" t="s">
        <v>48</v>
      </c>
      <c r="AQ784" s="2" t="s">
        <v>2888</v>
      </c>
    </row>
    <row r="785" spans="1:43" x14ac:dyDescent="0.2">
      <c r="A785" s="9" t="s">
        <v>2917</v>
      </c>
      <c r="B785" s="1" t="s">
        <v>2918</v>
      </c>
      <c r="D785" s="1" t="str">
        <f t="shared" si="33"/>
        <v>Documents\GitHub\Ozon_upload\barcode\футболки\Футболка Девочка с лошадью. Рукав крылышко. р98.pdf</v>
      </c>
      <c r="I785" s="1" t="s">
        <v>622</v>
      </c>
      <c r="K785" s="1" t="s">
        <v>48</v>
      </c>
      <c r="AQ785" s="2" t="s">
        <v>2888</v>
      </c>
    </row>
    <row r="786" spans="1:43" x14ac:dyDescent="0.2">
      <c r="A786" s="9" t="s">
        <v>2919</v>
      </c>
      <c r="B786" s="1" t="s">
        <v>2920</v>
      </c>
      <c r="D786" s="1" t="str">
        <f t="shared" si="33"/>
        <v>Documents\GitHub\Ozon_upload\barcode\футболки\Футболка Девочка с лошадью. Рукав крылышко. р104.pdf</v>
      </c>
      <c r="I786" s="1" t="s">
        <v>622</v>
      </c>
      <c r="K786" s="1" t="s">
        <v>48</v>
      </c>
      <c r="AQ786" s="2" t="s">
        <v>2888</v>
      </c>
    </row>
    <row r="787" spans="1:43" x14ac:dyDescent="0.2">
      <c r="A787" s="9" t="s">
        <v>2921</v>
      </c>
      <c r="B787" s="1" t="s">
        <v>2922</v>
      </c>
      <c r="D787" s="1" t="str">
        <f t="shared" si="33"/>
        <v>Documents\GitHub\Ozon_upload\barcode\футболки\Футболка Девочка с лошадью. Рукав крылышко. р110.pdf</v>
      </c>
      <c r="I787" s="1" t="s">
        <v>622</v>
      </c>
      <c r="K787" s="1" t="s">
        <v>48</v>
      </c>
      <c r="AQ787" s="2" t="s">
        <v>2888</v>
      </c>
    </row>
    <row r="788" spans="1:43" x14ac:dyDescent="0.2">
      <c r="A788" s="9" t="s">
        <v>2923</v>
      </c>
      <c r="B788" s="1" t="s">
        <v>2924</v>
      </c>
      <c r="D788" s="1" t="str">
        <f t="shared" si="33"/>
        <v>Documents\GitHub\Ozon_upload\barcode\футболки\Футболка Девочка с лошадью. Рукав крылышко. р116.pdf</v>
      </c>
      <c r="I788" s="1" t="s">
        <v>622</v>
      </c>
      <c r="K788" s="1" t="s">
        <v>48</v>
      </c>
      <c r="AQ788" s="2" t="s">
        <v>2888</v>
      </c>
    </row>
    <row r="789" spans="1:43" x14ac:dyDescent="0.2">
      <c r="A789" s="9" t="s">
        <v>2925</v>
      </c>
      <c r="B789" s="1" t="s">
        <v>2926</v>
      </c>
      <c r="D789" s="1" t="str">
        <f t="shared" si="33"/>
        <v>Documents\GitHub\Ozon_upload\barcode\футболки\Футболка Девочка с лошадью. Рукав крылышко. р122.pdf</v>
      </c>
      <c r="I789" s="1" t="s">
        <v>622</v>
      </c>
      <c r="K789" s="1" t="s">
        <v>48</v>
      </c>
      <c r="AQ789" s="2" t="s">
        <v>2888</v>
      </c>
    </row>
    <row r="790" spans="1:43" x14ac:dyDescent="0.2">
      <c r="A790" s="9" t="s">
        <v>2927</v>
      </c>
      <c r="B790" s="1" t="s">
        <v>2928</v>
      </c>
      <c r="D790" s="1" t="str">
        <f t="shared" si="33"/>
        <v>Documents\GitHub\Ozon_upload\barcode\футболки\Футболка Единорог. Рукав крылышко. р92.pdf</v>
      </c>
      <c r="I790" s="1" t="s">
        <v>622</v>
      </c>
      <c r="K790" s="1" t="s">
        <v>48</v>
      </c>
      <c r="AQ790" s="2" t="s">
        <v>2888</v>
      </c>
    </row>
    <row r="791" spans="1:43" x14ac:dyDescent="0.2">
      <c r="A791" s="55" t="s">
        <v>2929</v>
      </c>
      <c r="B791" s="1" t="s">
        <v>2930</v>
      </c>
      <c r="D791" s="1" t="str">
        <f t="shared" si="33"/>
        <v>Documents\GitHub\Ozon_upload\barcode\футболки\Футболка Единорог. Рукав крылышко. р98.pdf</v>
      </c>
      <c r="I791" s="1" t="s">
        <v>622</v>
      </c>
      <c r="K791" s="1" t="s">
        <v>48</v>
      </c>
      <c r="AQ791" s="2" t="s">
        <v>2888</v>
      </c>
    </row>
    <row r="792" spans="1:43" x14ac:dyDescent="0.2">
      <c r="A792" s="55" t="s">
        <v>2931</v>
      </c>
      <c r="B792" s="1" t="s">
        <v>2932</v>
      </c>
      <c r="D792" s="1" t="str">
        <f t="shared" si="33"/>
        <v>Documents\GitHub\Ozon_upload\barcode\футболки\Футболка Единорог. Рукав крылышко. р104.pdf</v>
      </c>
      <c r="I792" s="1" t="s">
        <v>622</v>
      </c>
      <c r="K792" s="1" t="s">
        <v>48</v>
      </c>
      <c r="AQ792" s="2" t="s">
        <v>2888</v>
      </c>
    </row>
    <row r="793" spans="1:43" x14ac:dyDescent="0.2">
      <c r="A793" s="55" t="s">
        <v>2933</v>
      </c>
      <c r="B793" s="1" t="s">
        <v>2934</v>
      </c>
      <c r="D793" s="1" t="str">
        <f t="shared" si="33"/>
        <v>Documents\GitHub\Ozon_upload\barcode\футболки\Футболка Единорог. Рукав крылышко. р110.pdf</v>
      </c>
      <c r="I793" s="1" t="s">
        <v>622</v>
      </c>
      <c r="K793" s="1" t="s">
        <v>48</v>
      </c>
      <c r="AQ793" s="2" t="s">
        <v>2888</v>
      </c>
    </row>
    <row r="794" spans="1:43" x14ac:dyDescent="0.2">
      <c r="A794" s="55" t="s">
        <v>2935</v>
      </c>
      <c r="B794" s="1" t="s">
        <v>2936</v>
      </c>
      <c r="D794" s="1" t="str">
        <f t="shared" si="33"/>
        <v>Documents\GitHub\Ozon_upload\barcode\футболки\Футболка Единорог. Рукав крылышко. р116.pdf</v>
      </c>
      <c r="I794" s="1" t="s">
        <v>622</v>
      </c>
      <c r="K794" s="1" t="s">
        <v>48</v>
      </c>
      <c r="AQ794" s="2" t="s">
        <v>2888</v>
      </c>
    </row>
    <row r="795" spans="1:43" x14ac:dyDescent="0.2">
      <c r="A795" s="55" t="s">
        <v>2937</v>
      </c>
      <c r="B795" s="1" t="s">
        <v>2938</v>
      </c>
      <c r="D795" s="1" t="str">
        <f t="shared" si="33"/>
        <v>Documents\GitHub\Ozon_upload\barcode\футболки\Футболка Единорог. Рукав крылышко. р122.pdf</v>
      </c>
      <c r="I795" s="1" t="s">
        <v>622</v>
      </c>
      <c r="K795" s="1" t="s">
        <v>48</v>
      </c>
      <c r="AQ795" s="2" t="s">
        <v>2888</v>
      </c>
    </row>
    <row r="796" spans="1:43" x14ac:dyDescent="0.2">
      <c r="A796" s="9" t="s">
        <v>2939</v>
      </c>
      <c r="B796" s="1" t="s">
        <v>2940</v>
      </c>
      <c r="D796" s="1" t="str">
        <f t="shared" si="33"/>
        <v>Documents\GitHub\Ozon_upload\barcode\футболки\Футболка Эльза и Анна. Рукав крылышко. Р92.pdf</v>
      </c>
      <c r="I796" s="1" t="s">
        <v>622</v>
      </c>
      <c r="K796" s="1" t="s">
        <v>48</v>
      </c>
      <c r="AQ796" s="2" t="s">
        <v>2888</v>
      </c>
    </row>
    <row r="797" spans="1:43" x14ac:dyDescent="0.2">
      <c r="A797" s="9" t="s">
        <v>2941</v>
      </c>
      <c r="B797" s="1" t="s">
        <v>2942</v>
      </c>
      <c r="D797" s="1" t="str">
        <f t="shared" si="33"/>
        <v>Documents\GitHub\Ozon_upload\barcode\футболки\Футболка Эльза и Анна. Рукав крылышко. Р98.pdf</v>
      </c>
      <c r="I797" s="1" t="s">
        <v>622</v>
      </c>
      <c r="K797" s="1" t="s">
        <v>48</v>
      </c>
      <c r="AQ797" s="2" t="s">
        <v>2888</v>
      </c>
    </row>
    <row r="798" spans="1:43" x14ac:dyDescent="0.2">
      <c r="A798" s="9" t="s">
        <v>2943</v>
      </c>
      <c r="B798" s="1" t="s">
        <v>2944</v>
      </c>
      <c r="D798" s="1" t="str">
        <f t="shared" si="33"/>
        <v>Documents\GitHub\Ozon_upload\barcode\футболки\Футболка Эльза и Анна. Рукав крылышко. Р104.pdf</v>
      </c>
      <c r="I798" s="1" t="s">
        <v>622</v>
      </c>
      <c r="K798" s="1" t="s">
        <v>48</v>
      </c>
      <c r="AQ798" s="2" t="s">
        <v>2888</v>
      </c>
    </row>
    <row r="799" spans="1:43" x14ac:dyDescent="0.2">
      <c r="A799" s="9" t="s">
        <v>2945</v>
      </c>
      <c r="B799" s="1" t="s">
        <v>2946</v>
      </c>
      <c r="D799" s="1" t="str">
        <f t="shared" si="33"/>
        <v>Documents\GitHub\Ozon_upload\barcode\футболки\Футболка Эльза и Анна. Рукав крылышко. Р110.pdf</v>
      </c>
      <c r="I799" s="1" t="s">
        <v>622</v>
      </c>
      <c r="K799" s="1" t="s">
        <v>48</v>
      </c>
      <c r="AQ799" s="2" t="s">
        <v>2888</v>
      </c>
    </row>
    <row r="800" spans="1:43" x14ac:dyDescent="0.2">
      <c r="A800" s="9" t="s">
        <v>2947</v>
      </c>
      <c r="B800" s="1" t="s">
        <v>2948</v>
      </c>
      <c r="D800" s="1" t="str">
        <f t="shared" si="33"/>
        <v>Documents\GitHub\Ozon_upload\barcode\футболки\Футболка Эльза и Анна. Рукав крылышко. Р116.pdf</v>
      </c>
      <c r="I800" s="1" t="s">
        <v>622</v>
      </c>
      <c r="K800" s="1" t="s">
        <v>48</v>
      </c>
      <c r="AQ800" s="2" t="s">
        <v>2888</v>
      </c>
    </row>
    <row r="801" spans="1:43" x14ac:dyDescent="0.2">
      <c r="A801" s="9" t="s">
        <v>2949</v>
      </c>
      <c r="B801" s="1" t="s">
        <v>2950</v>
      </c>
      <c r="D801" s="1" t="str">
        <f t="shared" si="33"/>
        <v>Documents\GitHub\Ozon_upload\barcode\футболки\Футболка Эльза и Анна. Рукав крылышко. Р122.pdf</v>
      </c>
      <c r="I801" s="1" t="s">
        <v>622</v>
      </c>
      <c r="K801" s="1" t="s">
        <v>48</v>
      </c>
      <c r="AQ801" s="2" t="s">
        <v>2888</v>
      </c>
    </row>
    <row r="802" spans="1:43" x14ac:dyDescent="0.2">
      <c r="A802" s="9" t="s">
        <v>2951</v>
      </c>
      <c r="B802" s="1" t="s">
        <v>2952</v>
      </c>
      <c r="D802" s="1" t="str">
        <f t="shared" ref="D802:D833" si="34">CONCATENATE("Documents\GitHub\Ozon_upload\barcode\футболки\", A802, ".pdf")</f>
        <v>Documents\GitHub\Ozon_upload\barcode\футболки\Футболка Эльза. Холодное сердце. Рукав крыл. Р92.pdf</v>
      </c>
      <c r="I802" s="1" t="s">
        <v>622</v>
      </c>
      <c r="K802" s="1" t="s">
        <v>48</v>
      </c>
      <c r="AQ802" s="2" t="s">
        <v>2888</v>
      </c>
    </row>
    <row r="803" spans="1:43" x14ac:dyDescent="0.2">
      <c r="A803" s="9" t="s">
        <v>2953</v>
      </c>
      <c r="B803" s="1" t="s">
        <v>2954</v>
      </c>
      <c r="D803" s="1" t="str">
        <f t="shared" si="34"/>
        <v>Documents\GitHub\Ozon_upload\barcode\футболки\Футболка Эльза. Холодное сердце. Рукав крыл. Р98.pdf</v>
      </c>
      <c r="I803" s="1" t="s">
        <v>622</v>
      </c>
      <c r="K803" s="1" t="s">
        <v>48</v>
      </c>
      <c r="AQ803" s="2" t="s">
        <v>2888</v>
      </c>
    </row>
    <row r="804" spans="1:43" x14ac:dyDescent="0.2">
      <c r="A804" s="9" t="s">
        <v>2955</v>
      </c>
      <c r="B804" s="1" t="s">
        <v>2956</v>
      </c>
      <c r="D804" s="1" t="str">
        <f t="shared" si="34"/>
        <v>Documents\GitHub\Ozon_upload\barcode\футболки\Футболка Эльза. Холодное сердце. Рукав крыл. Р104.pdf</v>
      </c>
      <c r="I804" s="1" t="s">
        <v>622</v>
      </c>
      <c r="K804" s="1" t="s">
        <v>48</v>
      </c>
      <c r="AQ804" s="2" t="s">
        <v>2888</v>
      </c>
    </row>
    <row r="805" spans="1:43" x14ac:dyDescent="0.2">
      <c r="A805" s="9" t="s">
        <v>2957</v>
      </c>
      <c r="B805" s="1" t="s">
        <v>2958</v>
      </c>
      <c r="D805" s="1" t="str">
        <f t="shared" si="34"/>
        <v>Documents\GitHub\Ozon_upload\barcode\футболки\Футболка Эльза. Холодное сердце. Рукав крыл. Р110.pdf</v>
      </c>
      <c r="I805" s="1" t="s">
        <v>622</v>
      </c>
      <c r="K805" s="1" t="s">
        <v>48</v>
      </c>
      <c r="AQ805" s="2" t="s">
        <v>2888</v>
      </c>
    </row>
    <row r="806" spans="1:43" x14ac:dyDescent="0.2">
      <c r="A806" s="9" t="s">
        <v>2959</v>
      </c>
      <c r="B806" s="1" t="s">
        <v>2960</v>
      </c>
      <c r="D806" s="1" t="str">
        <f t="shared" si="34"/>
        <v>Documents\GitHub\Ozon_upload\barcode\футболки\Футболка Эльза. Холодное сердце. Рукав крыл. Р116.pdf</v>
      </c>
      <c r="I806" s="1" t="s">
        <v>622</v>
      </c>
      <c r="K806" s="1" t="s">
        <v>48</v>
      </c>
      <c r="AQ806" s="2" t="s">
        <v>2888</v>
      </c>
    </row>
    <row r="807" spans="1:43" x14ac:dyDescent="0.2">
      <c r="A807" s="9" t="s">
        <v>2961</v>
      </c>
      <c r="B807" s="1" t="s">
        <v>2962</v>
      </c>
      <c r="D807" s="1" t="str">
        <f t="shared" si="34"/>
        <v>Documents\GitHub\Ozon_upload\barcode\футболки\Футболка Эльза. Холодное сердце. Рукав крыл. Р122.pdf</v>
      </c>
      <c r="I807" s="1" t="s">
        <v>622</v>
      </c>
      <c r="K807" s="1" t="s">
        <v>48</v>
      </c>
      <c r="AQ807" s="2" t="s">
        <v>2888</v>
      </c>
    </row>
    <row r="808" spans="1:43" x14ac:dyDescent="0.2">
      <c r="A808" s="9" t="s">
        <v>2963</v>
      </c>
      <c r="B808" s="1" t="s">
        <v>2964</v>
      </c>
      <c r="D808" s="1" t="str">
        <f t="shared" si="34"/>
        <v>Documents\GitHub\Ozon_upload\barcode\футболки\Футболка Единорог. Очки сердечки. Рукав крыл. Р92.pdf</v>
      </c>
      <c r="I808" s="1" t="s">
        <v>622</v>
      </c>
      <c r="K808" s="1" t="s">
        <v>48</v>
      </c>
      <c r="AQ808" s="2" t="s">
        <v>2888</v>
      </c>
    </row>
    <row r="809" spans="1:43" x14ac:dyDescent="0.2">
      <c r="A809" s="9" t="s">
        <v>2965</v>
      </c>
      <c r="B809" s="1" t="s">
        <v>2966</v>
      </c>
      <c r="D809" s="1" t="str">
        <f t="shared" si="34"/>
        <v>Documents\GitHub\Ozon_upload\barcode\футболки\Футболка Единорог. Очки сердечки. Рукав крыл. Р98.pdf</v>
      </c>
      <c r="I809" s="1" t="s">
        <v>622</v>
      </c>
      <c r="K809" s="1" t="s">
        <v>48</v>
      </c>
      <c r="AQ809" s="2" t="s">
        <v>2888</v>
      </c>
    </row>
    <row r="810" spans="1:43" x14ac:dyDescent="0.2">
      <c r="A810" s="9" t="s">
        <v>2967</v>
      </c>
      <c r="B810" s="1" t="s">
        <v>2968</v>
      </c>
      <c r="D810" s="1" t="str">
        <f t="shared" si="34"/>
        <v>Documents\GitHub\Ozon_upload\barcode\футболки\Футболка Единорог. Очки сердечки. Рукав крыл. Р104.pdf</v>
      </c>
      <c r="I810" s="1" t="s">
        <v>622</v>
      </c>
      <c r="K810" s="1" t="s">
        <v>48</v>
      </c>
      <c r="AQ810" s="2" t="s">
        <v>2888</v>
      </c>
    </row>
    <row r="811" spans="1:43" x14ac:dyDescent="0.2">
      <c r="A811" s="9" t="s">
        <v>2969</v>
      </c>
      <c r="B811" s="1" t="s">
        <v>2970</v>
      </c>
      <c r="D811" s="1" t="str">
        <f t="shared" si="34"/>
        <v>Documents\GitHub\Ozon_upload\barcode\футболки\Футболка Единорог. Очки сердечки. Рукав крыл. Р110.pdf</v>
      </c>
      <c r="I811" s="1" t="s">
        <v>622</v>
      </c>
      <c r="K811" s="1" t="s">
        <v>48</v>
      </c>
      <c r="AQ811" s="2" t="s">
        <v>2888</v>
      </c>
    </row>
    <row r="812" spans="1:43" x14ac:dyDescent="0.2">
      <c r="A812" s="9" t="s">
        <v>2971</v>
      </c>
      <c r="B812" s="1" t="s">
        <v>2972</v>
      </c>
      <c r="D812" s="1" t="str">
        <f t="shared" si="34"/>
        <v>Documents\GitHub\Ozon_upload\barcode\футболки\Футболка Единорог. Очки сердечки. Рукав крыл. Р116.pdf</v>
      </c>
      <c r="I812" s="1" t="s">
        <v>622</v>
      </c>
      <c r="K812" s="1" t="s">
        <v>48</v>
      </c>
      <c r="AQ812" s="2" t="s">
        <v>2888</v>
      </c>
    </row>
    <row r="813" spans="1:43" x14ac:dyDescent="0.2">
      <c r="A813" s="9" t="s">
        <v>2973</v>
      </c>
      <c r="B813" s="1" t="s">
        <v>2974</v>
      </c>
      <c r="D813" s="1" t="str">
        <f t="shared" si="34"/>
        <v>Documents\GitHub\Ozon_upload\barcode\футболки\Футболка Единорог. Очки сердечки. Рукав крыл. Р122.pdf</v>
      </c>
      <c r="I813" s="1" t="s">
        <v>622</v>
      </c>
      <c r="K813" s="1" t="s">
        <v>48</v>
      </c>
      <c r="AQ813" s="2" t="s">
        <v>2888</v>
      </c>
    </row>
    <row r="814" spans="1:43" x14ac:dyDescent="0.2">
      <c r="A814" s="9" t="s">
        <v>2975</v>
      </c>
      <c r="B814" s="1" t="s">
        <v>2976</v>
      </c>
      <c r="D814" s="1" t="str">
        <f t="shared" si="34"/>
        <v>Documents\GitHub\Ozon_upload\barcode\футболки\Футболка Минни Маус. Улыбка. Рукав крыл. Р92.pdf</v>
      </c>
      <c r="I814" s="1" t="s">
        <v>622</v>
      </c>
      <c r="K814" s="1" t="s">
        <v>48</v>
      </c>
      <c r="AQ814" s="2" t="s">
        <v>2888</v>
      </c>
    </row>
    <row r="815" spans="1:43" x14ac:dyDescent="0.2">
      <c r="A815" s="9" t="s">
        <v>2977</v>
      </c>
      <c r="B815" s="1" t="s">
        <v>2978</v>
      </c>
      <c r="D815" s="1" t="str">
        <f t="shared" si="34"/>
        <v>Documents\GitHub\Ozon_upload\barcode\футболки\Футболка Минни Маус. Улыбка. Рукав крыл. Р98.pdf</v>
      </c>
      <c r="I815" s="1" t="s">
        <v>622</v>
      </c>
      <c r="K815" s="1" t="s">
        <v>48</v>
      </c>
      <c r="AQ815" s="2" t="s">
        <v>2888</v>
      </c>
    </row>
    <row r="816" spans="1:43" x14ac:dyDescent="0.2">
      <c r="A816" s="9" t="s">
        <v>2979</v>
      </c>
      <c r="B816" s="1" t="s">
        <v>2980</v>
      </c>
      <c r="D816" s="1" t="str">
        <f t="shared" si="34"/>
        <v>Documents\GitHub\Ozon_upload\barcode\футболки\Футболка Минни Маус. Улыбка. Рукав крыл. Р104.pdf</v>
      </c>
      <c r="I816" s="1" t="s">
        <v>622</v>
      </c>
      <c r="K816" s="1" t="s">
        <v>48</v>
      </c>
      <c r="AQ816" s="2" t="s">
        <v>2888</v>
      </c>
    </row>
    <row r="817" spans="1:43" x14ac:dyDescent="0.2">
      <c r="A817" s="9" t="s">
        <v>2981</v>
      </c>
      <c r="B817" s="1" t="s">
        <v>2982</v>
      </c>
      <c r="D817" s="1" t="str">
        <f t="shared" si="34"/>
        <v>Documents\GitHub\Ozon_upload\barcode\футболки\Футболка Минни Маус. Улыбка. Рукав крыл. Р110.pdf</v>
      </c>
      <c r="I817" s="1" t="s">
        <v>622</v>
      </c>
      <c r="K817" s="1" t="s">
        <v>48</v>
      </c>
      <c r="AQ817" s="2" t="s">
        <v>2888</v>
      </c>
    </row>
    <row r="818" spans="1:43" x14ac:dyDescent="0.2">
      <c r="A818" s="9" t="s">
        <v>2983</v>
      </c>
      <c r="B818" s="1" t="s">
        <v>2984</v>
      </c>
      <c r="D818" s="1" t="str">
        <f t="shared" si="34"/>
        <v>Documents\GitHub\Ozon_upload\barcode\футболки\Футболка Минни Маус. Улыбка. Рукав крыл. Р116.pdf</v>
      </c>
      <c r="I818" s="1" t="s">
        <v>622</v>
      </c>
      <c r="K818" s="1" t="s">
        <v>48</v>
      </c>
      <c r="AQ818" s="2" t="s">
        <v>2888</v>
      </c>
    </row>
    <row r="819" spans="1:43" x14ac:dyDescent="0.2">
      <c r="A819" s="9" t="s">
        <v>2985</v>
      </c>
      <c r="B819" s="1" t="s">
        <v>2986</v>
      </c>
      <c r="D819" s="1" t="str">
        <f t="shared" si="34"/>
        <v>Documents\GitHub\Ozon_upload\barcode\футболки\Футболка Минни Маус. Улыбка. Рукав крыл. Р122.pdf</v>
      </c>
      <c r="I819" s="1" t="s">
        <v>622</v>
      </c>
      <c r="K819" s="1" t="s">
        <v>48</v>
      </c>
      <c r="AQ819" s="2" t="s">
        <v>2888</v>
      </c>
    </row>
    <row r="820" spans="1:43" x14ac:dyDescent="0.2">
      <c r="A820" s="1" t="s">
        <v>2987</v>
      </c>
      <c r="B820" s="1" t="s">
        <v>2988</v>
      </c>
      <c r="D820" s="1" t="str">
        <f t="shared" si="34"/>
        <v>Documents\GitHub\Ozon_upload\barcode\футболки\Платье желтое р92.pdf</v>
      </c>
      <c r="I820" s="1" t="s">
        <v>622</v>
      </c>
      <c r="K820" s="1" t="s">
        <v>48</v>
      </c>
      <c r="AQ820" s="2" t="s">
        <v>2888</v>
      </c>
    </row>
    <row r="821" spans="1:43" x14ac:dyDescent="0.2">
      <c r="A821" s="1" t="s">
        <v>2989</v>
      </c>
      <c r="B821" s="1" t="s">
        <v>2990</v>
      </c>
      <c r="D821" s="1" t="str">
        <f t="shared" si="34"/>
        <v>Documents\GitHub\Ozon_upload\barcode\футболки\Платье желтое р98.pdf</v>
      </c>
      <c r="I821" s="1" t="s">
        <v>622</v>
      </c>
      <c r="K821" s="1" t="s">
        <v>48</v>
      </c>
      <c r="AQ821" s="2" t="s">
        <v>2888</v>
      </c>
    </row>
    <row r="822" spans="1:43" x14ac:dyDescent="0.2">
      <c r="A822" s="1" t="s">
        <v>2991</v>
      </c>
      <c r="B822" s="1" t="s">
        <v>2992</v>
      </c>
      <c r="D822" s="1" t="str">
        <f t="shared" si="34"/>
        <v>Documents\GitHub\Ozon_upload\barcode\футболки\Платье желтое р104.pdf</v>
      </c>
      <c r="I822" s="1" t="s">
        <v>622</v>
      </c>
      <c r="K822" s="1" t="s">
        <v>48</v>
      </c>
      <c r="AQ822" s="2" t="s">
        <v>2888</v>
      </c>
    </row>
    <row r="823" spans="1:43" x14ac:dyDescent="0.2">
      <c r="A823" s="1" t="s">
        <v>2993</v>
      </c>
      <c r="B823" s="1" t="s">
        <v>2994</v>
      </c>
      <c r="D823" s="1" t="str">
        <f t="shared" si="34"/>
        <v>Documents\GitHub\Ozon_upload\barcode\футболки\Платье желтое р110.pdf</v>
      </c>
      <c r="I823" s="1" t="s">
        <v>622</v>
      </c>
      <c r="K823" s="1" t="s">
        <v>48</v>
      </c>
      <c r="AQ823" s="2" t="s">
        <v>2888</v>
      </c>
    </row>
    <row r="824" spans="1:43" x14ac:dyDescent="0.2">
      <c r="A824" s="1" t="s">
        <v>2995</v>
      </c>
      <c r="B824" s="1" t="s">
        <v>2996</v>
      </c>
      <c r="D824" s="1" t="str">
        <f t="shared" si="34"/>
        <v>Documents\GitHub\Ozon_upload\barcode\футболки\Платье желтое р116.pdf</v>
      </c>
      <c r="I824" s="1" t="s">
        <v>622</v>
      </c>
      <c r="K824" s="1" t="s">
        <v>48</v>
      </c>
      <c r="AQ824" s="2" t="s">
        <v>2888</v>
      </c>
    </row>
    <row r="825" spans="1:43" x14ac:dyDescent="0.2">
      <c r="A825" s="1" t="s">
        <v>2997</v>
      </c>
      <c r="B825" s="1" t="s">
        <v>2998</v>
      </c>
      <c r="D825" s="1" t="str">
        <f t="shared" si="34"/>
        <v>Documents\GitHub\Ozon_upload\barcode\футболки\Платье желтое р122.pdf</v>
      </c>
      <c r="I825" s="1" t="s">
        <v>622</v>
      </c>
      <c r="K825" s="1" t="s">
        <v>48</v>
      </c>
      <c r="AQ825" s="2" t="s">
        <v>2888</v>
      </c>
    </row>
    <row r="826" spans="1:43" ht="15" x14ac:dyDescent="0.25">
      <c r="A826" s="16" t="s">
        <v>2999</v>
      </c>
      <c r="B826" s="1" t="s">
        <v>3000</v>
      </c>
      <c r="D826" s="1" t="str">
        <f t="shared" si="34"/>
        <v>Documents\GitHub\Ozon_upload\barcode\футболки\Футболка Соник Ежик Sonic р98.pdf</v>
      </c>
      <c r="I826" s="1" t="s">
        <v>622</v>
      </c>
      <c r="K826" s="1" t="s">
        <v>48</v>
      </c>
      <c r="AQ826" s="2" t="s">
        <v>2888</v>
      </c>
    </row>
    <row r="827" spans="1:43" ht="15" x14ac:dyDescent="0.25">
      <c r="A827" s="16" t="s">
        <v>3001</v>
      </c>
      <c r="B827" s="1" t="s">
        <v>3002</v>
      </c>
      <c r="D827" s="1" t="str">
        <f t="shared" si="34"/>
        <v>Documents\GitHub\Ozon_upload\barcode\футболки\Футболка Соник Ежик Sonic р104.pdf</v>
      </c>
      <c r="I827" s="1" t="s">
        <v>622</v>
      </c>
      <c r="K827" s="1" t="s">
        <v>48</v>
      </c>
      <c r="AQ827" s="2" t="s">
        <v>2888</v>
      </c>
    </row>
    <row r="828" spans="1:43" ht="15" x14ac:dyDescent="0.25">
      <c r="A828" s="16" t="s">
        <v>3003</v>
      </c>
      <c r="B828" s="1" t="s">
        <v>3004</v>
      </c>
      <c r="D828" s="1" t="str">
        <f t="shared" si="34"/>
        <v>Documents\GitHub\Ozon_upload\barcode\футболки\Футболка Соник Ежик Sonic р110.pdf</v>
      </c>
      <c r="I828" s="1" t="s">
        <v>622</v>
      </c>
      <c r="K828" s="1" t="s">
        <v>48</v>
      </c>
      <c r="AQ828" s="2" t="s">
        <v>2888</v>
      </c>
    </row>
    <row r="829" spans="1:43" ht="15" x14ac:dyDescent="0.25">
      <c r="A829" s="16" t="s">
        <v>3005</v>
      </c>
      <c r="B829" s="1" t="s">
        <v>3006</v>
      </c>
      <c r="D829" s="1" t="str">
        <f t="shared" si="34"/>
        <v>Documents\GitHub\Ozon_upload\barcode\футболки\Футболка Соник Ежик Sonic р116.pdf</v>
      </c>
      <c r="I829" s="1" t="s">
        <v>622</v>
      </c>
      <c r="K829" s="1" t="s">
        <v>48</v>
      </c>
      <c r="AQ829" s="2" t="s">
        <v>2888</v>
      </c>
    </row>
    <row r="830" spans="1:43" ht="15" x14ac:dyDescent="0.25">
      <c r="A830" s="16" t="s">
        <v>3007</v>
      </c>
      <c r="B830" s="1" t="s">
        <v>3008</v>
      </c>
      <c r="D830" s="1" t="str">
        <f t="shared" si="34"/>
        <v>Documents\GitHub\Ozon_upload\barcode\футболки\Футболка Соник Ежик Sonic р122.pdf</v>
      </c>
      <c r="I830" s="1" t="s">
        <v>622</v>
      </c>
      <c r="K830" s="1" t="s">
        <v>48</v>
      </c>
      <c r="AQ830" s="2" t="s">
        <v>2888</v>
      </c>
    </row>
    <row r="831" spans="1:43" ht="15" x14ac:dyDescent="0.25">
      <c r="A831" s="16" t="s">
        <v>3009</v>
      </c>
      <c r="B831" s="1" t="s">
        <v>3010</v>
      </c>
      <c r="D831" s="1" t="str">
        <f t="shared" si="34"/>
        <v>Documents\GitHub\Ozon_upload\barcode\футболки\Футболка Соник Ежик Sonic р128.pdf</v>
      </c>
      <c r="I831" s="1" t="s">
        <v>622</v>
      </c>
      <c r="K831" s="1" t="s">
        <v>48</v>
      </c>
      <c r="AQ831" s="2" t="s">
        <v>2888</v>
      </c>
    </row>
    <row r="832" spans="1:43" ht="15" x14ac:dyDescent="0.25">
      <c r="A832" s="16" t="s">
        <v>3011</v>
      </c>
      <c r="B832" s="1" t="s">
        <v>3012</v>
      </c>
      <c r="D832" s="1" t="str">
        <f t="shared" si="34"/>
        <v>Documents\GitHub\Ozon_upload\barcode\футболки\Футболка Соник Ежик Sonic р134.pdf</v>
      </c>
      <c r="I832" s="1" t="s">
        <v>622</v>
      </c>
      <c r="K832" s="1" t="s">
        <v>48</v>
      </c>
      <c r="AQ832" s="2" t="s">
        <v>2888</v>
      </c>
    </row>
    <row r="833" spans="1:43" ht="15" x14ac:dyDescent="0.25">
      <c r="A833" s="16" t="s">
        <v>3013</v>
      </c>
      <c r="B833" s="1" t="s">
        <v>3014</v>
      </c>
      <c r="D833" s="1" t="str">
        <f t="shared" si="34"/>
        <v>Documents\GitHub\Ozon_upload\barcode\футболки\Футболка Единорог р98.pdf</v>
      </c>
      <c r="I833" s="1" t="s">
        <v>622</v>
      </c>
      <c r="K833" s="1" t="s">
        <v>48</v>
      </c>
      <c r="AQ833" s="2" t="s">
        <v>2888</v>
      </c>
    </row>
    <row r="834" spans="1:43" ht="15" x14ac:dyDescent="0.25">
      <c r="A834" s="16" t="s">
        <v>3015</v>
      </c>
      <c r="B834" s="1" t="s">
        <v>3016</v>
      </c>
      <c r="D834" s="1" t="str">
        <f t="shared" ref="D834:D839" si="35">CONCATENATE("Documents\GitHub\Ozon_upload\barcode\футболки\", A834, ".pdf")</f>
        <v>Documents\GitHub\Ozon_upload\barcode\футболки\Футболка Единорог р104.pdf</v>
      </c>
      <c r="I834" s="1" t="s">
        <v>622</v>
      </c>
      <c r="K834" s="1" t="s">
        <v>48</v>
      </c>
      <c r="AQ834" s="2" t="s">
        <v>2888</v>
      </c>
    </row>
    <row r="835" spans="1:43" ht="15" x14ac:dyDescent="0.25">
      <c r="A835" s="16" t="s">
        <v>3017</v>
      </c>
      <c r="B835" s="1" t="s">
        <v>3018</v>
      </c>
      <c r="D835" s="1" t="str">
        <f t="shared" si="35"/>
        <v>Documents\GitHub\Ozon_upload\barcode\футболки\Футболка Единорог р110.pdf</v>
      </c>
      <c r="I835" s="1" t="s">
        <v>622</v>
      </c>
      <c r="K835" s="1" t="s">
        <v>48</v>
      </c>
      <c r="AQ835" s="2" t="s">
        <v>2888</v>
      </c>
    </row>
    <row r="836" spans="1:43" ht="15" x14ac:dyDescent="0.25">
      <c r="A836" s="16" t="s">
        <v>3019</v>
      </c>
      <c r="B836" s="1" t="s">
        <v>3020</v>
      </c>
      <c r="D836" s="1" t="str">
        <f t="shared" si="35"/>
        <v>Documents\GitHub\Ozon_upload\barcode\футболки\Футболка Единорог р116.pdf</v>
      </c>
      <c r="I836" s="1" t="s">
        <v>622</v>
      </c>
      <c r="K836" s="1" t="s">
        <v>48</v>
      </c>
      <c r="AQ836" s="2" t="s">
        <v>2888</v>
      </c>
    </row>
    <row r="837" spans="1:43" ht="15" x14ac:dyDescent="0.25">
      <c r="A837" s="16" t="s">
        <v>3021</v>
      </c>
      <c r="B837" s="1" t="s">
        <v>3022</v>
      </c>
      <c r="D837" s="1" t="str">
        <f t="shared" si="35"/>
        <v>Documents\GitHub\Ozon_upload\barcode\футболки\Футболка Единорог р122.pdf</v>
      </c>
      <c r="I837" s="1" t="s">
        <v>622</v>
      </c>
      <c r="K837" s="1" t="s">
        <v>48</v>
      </c>
      <c r="AQ837" s="2" t="s">
        <v>2888</v>
      </c>
    </row>
    <row r="838" spans="1:43" ht="15" x14ac:dyDescent="0.25">
      <c r="A838" s="16" t="s">
        <v>3023</v>
      </c>
      <c r="B838" s="1" t="s">
        <v>3024</v>
      </c>
      <c r="D838" s="1" t="str">
        <f t="shared" si="35"/>
        <v>Documents\GitHub\Ozon_upload\barcode\футболки\Футболка Единорог р128.pdf</v>
      </c>
      <c r="I838" s="1" t="s">
        <v>622</v>
      </c>
      <c r="K838" s="1" t="s">
        <v>48</v>
      </c>
      <c r="AQ838" s="2" t="s">
        <v>2888</v>
      </c>
    </row>
    <row r="839" spans="1:43" ht="15" x14ac:dyDescent="0.25">
      <c r="A839" s="16" t="s">
        <v>3025</v>
      </c>
      <c r="B839" s="1" t="s">
        <v>3026</v>
      </c>
      <c r="D839" s="1" t="str">
        <f t="shared" si="35"/>
        <v>Documents\GitHub\Ozon_upload\barcode\футболки\Футболка Единорог р134.pdf</v>
      </c>
      <c r="I839" s="1" t="s">
        <v>622</v>
      </c>
      <c r="K839" s="1" t="s">
        <v>48</v>
      </c>
      <c r="AQ839" s="2" t="s">
        <v>2888</v>
      </c>
    </row>
  </sheetData>
  <phoneticPr fontId="24" type="noConversion"/>
  <dataValidations disablePrompts="1" count="1">
    <dataValidation type="list" operator="equal" showErrorMessage="1" errorTitle="Ошибка" error="Выберите значение из списка" sqref="AB2:AB115" xr:uid="{00000000-0002-0000-0000-000000000000}">
      <formula1>#NAME?</formula1>
      <formula2>0</formula2>
    </dataValidation>
  </dataValidations>
  <pageMargins left="0.74791666666666701" right="0.74791666666666701" top="0.98402777777777795" bottom="0.98402777777777795" header="0.511811023622047" footer="0.511811023622047"/>
  <pageSetup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54"/>
  <sheetViews>
    <sheetView zoomScaleNormal="100" workbookViewId="0">
      <selection activeCell="B37" sqref="B37"/>
    </sheetView>
  </sheetViews>
  <sheetFormatPr defaultColWidth="8.7109375" defaultRowHeight="12.75" x14ac:dyDescent="0.2"/>
  <sheetData>
    <row r="1" spans="1:1" x14ac:dyDescent="0.2">
      <c r="A1" s="1">
        <v>1</v>
      </c>
    </row>
    <row r="2" spans="1:1" x14ac:dyDescent="0.2">
      <c r="A2" s="1">
        <f t="shared" ref="A2:A65" si="0">A1+1</f>
        <v>2</v>
      </c>
    </row>
    <row r="3" spans="1:1" x14ac:dyDescent="0.2">
      <c r="A3" s="1">
        <f t="shared" si="0"/>
        <v>3</v>
      </c>
    </row>
    <row r="4" spans="1:1" x14ac:dyDescent="0.2">
      <c r="A4" s="1">
        <f t="shared" si="0"/>
        <v>4</v>
      </c>
    </row>
    <row r="5" spans="1:1" x14ac:dyDescent="0.2">
      <c r="A5" s="1">
        <f t="shared" si="0"/>
        <v>5</v>
      </c>
    </row>
    <row r="6" spans="1:1" x14ac:dyDescent="0.2">
      <c r="A6" s="1">
        <f t="shared" si="0"/>
        <v>6</v>
      </c>
    </row>
    <row r="7" spans="1:1" x14ac:dyDescent="0.2">
      <c r="A7" s="1">
        <f t="shared" si="0"/>
        <v>7</v>
      </c>
    </row>
    <row r="8" spans="1:1" x14ac:dyDescent="0.2">
      <c r="A8" s="1">
        <f t="shared" si="0"/>
        <v>8</v>
      </c>
    </row>
    <row r="9" spans="1:1" x14ac:dyDescent="0.2">
      <c r="A9" s="1">
        <f t="shared" si="0"/>
        <v>9</v>
      </c>
    </row>
    <row r="10" spans="1:1" x14ac:dyDescent="0.2">
      <c r="A10" s="1">
        <f t="shared" si="0"/>
        <v>10</v>
      </c>
    </row>
    <row r="11" spans="1:1" x14ac:dyDescent="0.2">
      <c r="A11" s="1">
        <f t="shared" si="0"/>
        <v>11</v>
      </c>
    </row>
    <row r="12" spans="1:1" x14ac:dyDescent="0.2">
      <c r="A12" s="1">
        <f t="shared" si="0"/>
        <v>12</v>
      </c>
    </row>
    <row r="13" spans="1:1" x14ac:dyDescent="0.2">
      <c r="A13" s="1">
        <f t="shared" si="0"/>
        <v>13</v>
      </c>
    </row>
    <row r="14" spans="1:1" x14ac:dyDescent="0.2">
      <c r="A14" s="1">
        <f t="shared" si="0"/>
        <v>14</v>
      </c>
    </row>
    <row r="15" spans="1:1" x14ac:dyDescent="0.2">
      <c r="A15" s="1">
        <f t="shared" si="0"/>
        <v>15</v>
      </c>
    </row>
    <row r="16" spans="1:1" x14ac:dyDescent="0.2">
      <c r="A16" s="1">
        <f t="shared" si="0"/>
        <v>16</v>
      </c>
    </row>
    <row r="17" spans="1:1" x14ac:dyDescent="0.2">
      <c r="A17" s="1">
        <f t="shared" si="0"/>
        <v>17</v>
      </c>
    </row>
    <row r="18" spans="1:1" x14ac:dyDescent="0.2">
      <c r="A18" s="1">
        <f t="shared" si="0"/>
        <v>18</v>
      </c>
    </row>
    <row r="19" spans="1:1" x14ac:dyDescent="0.2">
      <c r="A19" s="1">
        <f t="shared" si="0"/>
        <v>19</v>
      </c>
    </row>
    <row r="20" spans="1:1" x14ac:dyDescent="0.2">
      <c r="A20" s="1">
        <f t="shared" si="0"/>
        <v>20</v>
      </c>
    </row>
    <row r="21" spans="1:1" x14ac:dyDescent="0.2">
      <c r="A21" s="1">
        <f t="shared" si="0"/>
        <v>21</v>
      </c>
    </row>
    <row r="22" spans="1:1" x14ac:dyDescent="0.2">
      <c r="A22" s="1">
        <f t="shared" si="0"/>
        <v>22</v>
      </c>
    </row>
    <row r="23" spans="1:1" x14ac:dyDescent="0.2">
      <c r="A23" s="1">
        <f t="shared" si="0"/>
        <v>23</v>
      </c>
    </row>
    <row r="24" spans="1:1" x14ac:dyDescent="0.2">
      <c r="A24" s="1">
        <f t="shared" si="0"/>
        <v>24</v>
      </c>
    </row>
    <row r="25" spans="1:1" x14ac:dyDescent="0.2">
      <c r="A25" s="1">
        <f t="shared" si="0"/>
        <v>25</v>
      </c>
    </row>
    <row r="26" spans="1:1" x14ac:dyDescent="0.2">
      <c r="A26" s="1">
        <f t="shared" si="0"/>
        <v>26</v>
      </c>
    </row>
    <row r="27" spans="1:1" x14ac:dyDescent="0.2">
      <c r="A27" s="1">
        <f t="shared" si="0"/>
        <v>27</v>
      </c>
    </row>
    <row r="28" spans="1:1" x14ac:dyDescent="0.2">
      <c r="A28" s="1">
        <f t="shared" si="0"/>
        <v>28</v>
      </c>
    </row>
    <row r="29" spans="1:1" x14ac:dyDescent="0.2">
      <c r="A29" s="1">
        <f t="shared" si="0"/>
        <v>29</v>
      </c>
    </row>
    <row r="30" spans="1:1" x14ac:dyDescent="0.2">
      <c r="A30" s="1">
        <f t="shared" si="0"/>
        <v>30</v>
      </c>
    </row>
    <row r="31" spans="1:1" x14ac:dyDescent="0.2">
      <c r="A31" s="1">
        <f t="shared" si="0"/>
        <v>31</v>
      </c>
    </row>
    <row r="32" spans="1:1" x14ac:dyDescent="0.2">
      <c r="A32" s="1">
        <f t="shared" si="0"/>
        <v>32</v>
      </c>
    </row>
    <row r="33" spans="1:1" x14ac:dyDescent="0.2">
      <c r="A33" s="1">
        <f t="shared" si="0"/>
        <v>33</v>
      </c>
    </row>
    <row r="34" spans="1:1" x14ac:dyDescent="0.2">
      <c r="A34" s="1">
        <f t="shared" si="0"/>
        <v>34</v>
      </c>
    </row>
    <row r="35" spans="1:1" x14ac:dyDescent="0.2">
      <c r="A35" s="1">
        <f t="shared" si="0"/>
        <v>35</v>
      </c>
    </row>
    <row r="36" spans="1:1" x14ac:dyDescent="0.2">
      <c r="A36" s="1">
        <f t="shared" si="0"/>
        <v>36</v>
      </c>
    </row>
    <row r="37" spans="1:1" x14ac:dyDescent="0.2">
      <c r="A37" s="1">
        <f t="shared" si="0"/>
        <v>37</v>
      </c>
    </row>
    <row r="38" spans="1:1" x14ac:dyDescent="0.2">
      <c r="A38" s="1">
        <f t="shared" si="0"/>
        <v>38</v>
      </c>
    </row>
    <row r="39" spans="1:1" x14ac:dyDescent="0.2">
      <c r="A39" s="1">
        <f t="shared" si="0"/>
        <v>39</v>
      </c>
    </row>
    <row r="40" spans="1:1" x14ac:dyDescent="0.2">
      <c r="A40" s="1">
        <f t="shared" si="0"/>
        <v>40</v>
      </c>
    </row>
    <row r="41" spans="1:1" x14ac:dyDescent="0.2">
      <c r="A41" s="1">
        <f t="shared" si="0"/>
        <v>41</v>
      </c>
    </row>
    <row r="42" spans="1:1" x14ac:dyDescent="0.2">
      <c r="A42" s="1">
        <f t="shared" si="0"/>
        <v>42</v>
      </c>
    </row>
    <row r="43" spans="1:1" x14ac:dyDescent="0.2">
      <c r="A43" s="1">
        <f t="shared" si="0"/>
        <v>43</v>
      </c>
    </row>
    <row r="44" spans="1:1" x14ac:dyDescent="0.2">
      <c r="A44" s="1">
        <f t="shared" si="0"/>
        <v>44</v>
      </c>
    </row>
    <row r="45" spans="1:1" x14ac:dyDescent="0.2">
      <c r="A45" s="1">
        <f t="shared" si="0"/>
        <v>45</v>
      </c>
    </row>
    <row r="46" spans="1:1" x14ac:dyDescent="0.2">
      <c r="A46" s="1">
        <f t="shared" si="0"/>
        <v>46</v>
      </c>
    </row>
    <row r="47" spans="1:1" x14ac:dyDescent="0.2">
      <c r="A47" s="1">
        <f t="shared" si="0"/>
        <v>47</v>
      </c>
    </row>
    <row r="48" spans="1:1" x14ac:dyDescent="0.2">
      <c r="A48" s="1">
        <f t="shared" si="0"/>
        <v>48</v>
      </c>
    </row>
    <row r="49" spans="1:1" x14ac:dyDescent="0.2">
      <c r="A49" s="1">
        <f t="shared" si="0"/>
        <v>49</v>
      </c>
    </row>
    <row r="50" spans="1:1" x14ac:dyDescent="0.2">
      <c r="A50" s="1">
        <f t="shared" si="0"/>
        <v>50</v>
      </c>
    </row>
    <row r="51" spans="1:1" x14ac:dyDescent="0.2">
      <c r="A51" s="1">
        <f t="shared" si="0"/>
        <v>51</v>
      </c>
    </row>
    <row r="52" spans="1:1" x14ac:dyDescent="0.2">
      <c r="A52" s="1">
        <f t="shared" si="0"/>
        <v>52</v>
      </c>
    </row>
    <row r="53" spans="1:1" x14ac:dyDescent="0.2">
      <c r="A53" s="1">
        <f t="shared" si="0"/>
        <v>53</v>
      </c>
    </row>
    <row r="54" spans="1:1" x14ac:dyDescent="0.2">
      <c r="A54" s="1">
        <f t="shared" si="0"/>
        <v>54</v>
      </c>
    </row>
    <row r="55" spans="1:1" x14ac:dyDescent="0.2">
      <c r="A55" s="1">
        <f t="shared" si="0"/>
        <v>55</v>
      </c>
    </row>
    <row r="56" spans="1:1" x14ac:dyDescent="0.2">
      <c r="A56" s="1">
        <f t="shared" si="0"/>
        <v>56</v>
      </c>
    </row>
    <row r="57" spans="1:1" x14ac:dyDescent="0.2">
      <c r="A57" s="1">
        <f t="shared" si="0"/>
        <v>57</v>
      </c>
    </row>
    <row r="58" spans="1:1" x14ac:dyDescent="0.2">
      <c r="A58" s="1">
        <f t="shared" si="0"/>
        <v>58</v>
      </c>
    </row>
    <row r="59" spans="1:1" x14ac:dyDescent="0.2">
      <c r="A59" s="1">
        <f t="shared" si="0"/>
        <v>59</v>
      </c>
    </row>
    <row r="60" spans="1:1" x14ac:dyDescent="0.2">
      <c r="A60" s="1">
        <f t="shared" si="0"/>
        <v>60</v>
      </c>
    </row>
    <row r="61" spans="1:1" x14ac:dyDescent="0.2">
      <c r="A61" s="1">
        <f t="shared" si="0"/>
        <v>61</v>
      </c>
    </row>
    <row r="62" spans="1:1" x14ac:dyDescent="0.2">
      <c r="A62" s="1">
        <f t="shared" si="0"/>
        <v>62</v>
      </c>
    </row>
    <row r="63" spans="1:1" x14ac:dyDescent="0.2">
      <c r="A63" s="1">
        <f t="shared" si="0"/>
        <v>63</v>
      </c>
    </row>
    <row r="64" spans="1:1" x14ac:dyDescent="0.2">
      <c r="A64" s="1">
        <f t="shared" si="0"/>
        <v>64</v>
      </c>
    </row>
    <row r="65" spans="1:1" x14ac:dyDescent="0.2">
      <c r="A65" s="1">
        <f t="shared" si="0"/>
        <v>65</v>
      </c>
    </row>
    <row r="66" spans="1:1" x14ac:dyDescent="0.2">
      <c r="A66" s="1">
        <f t="shared" ref="A66:A129" si="1">A65+1</f>
        <v>66</v>
      </c>
    </row>
    <row r="67" spans="1:1" x14ac:dyDescent="0.2">
      <c r="A67" s="1">
        <f t="shared" si="1"/>
        <v>67</v>
      </c>
    </row>
    <row r="68" spans="1:1" x14ac:dyDescent="0.2">
      <c r="A68" s="1">
        <f t="shared" si="1"/>
        <v>68</v>
      </c>
    </row>
    <row r="69" spans="1:1" x14ac:dyDescent="0.2">
      <c r="A69" s="1">
        <f t="shared" si="1"/>
        <v>69</v>
      </c>
    </row>
    <row r="70" spans="1:1" x14ac:dyDescent="0.2">
      <c r="A70" s="1">
        <f t="shared" si="1"/>
        <v>70</v>
      </c>
    </row>
    <row r="71" spans="1:1" x14ac:dyDescent="0.2">
      <c r="A71" s="1">
        <f t="shared" si="1"/>
        <v>71</v>
      </c>
    </row>
    <row r="72" spans="1:1" x14ac:dyDescent="0.2">
      <c r="A72" s="1">
        <f t="shared" si="1"/>
        <v>72</v>
      </c>
    </row>
    <row r="73" spans="1:1" x14ac:dyDescent="0.2">
      <c r="A73" s="1">
        <f t="shared" si="1"/>
        <v>73</v>
      </c>
    </row>
    <row r="74" spans="1:1" x14ac:dyDescent="0.2">
      <c r="A74" s="1">
        <f t="shared" si="1"/>
        <v>74</v>
      </c>
    </row>
    <row r="75" spans="1:1" x14ac:dyDescent="0.2">
      <c r="A75" s="1">
        <f t="shared" si="1"/>
        <v>75</v>
      </c>
    </row>
    <row r="76" spans="1:1" x14ac:dyDescent="0.2">
      <c r="A76" s="1">
        <f t="shared" si="1"/>
        <v>76</v>
      </c>
    </row>
    <row r="77" spans="1:1" x14ac:dyDescent="0.2">
      <c r="A77" s="1">
        <f t="shared" si="1"/>
        <v>77</v>
      </c>
    </row>
    <row r="78" spans="1:1" x14ac:dyDescent="0.2">
      <c r="A78" s="1">
        <f t="shared" si="1"/>
        <v>78</v>
      </c>
    </row>
    <row r="79" spans="1:1" x14ac:dyDescent="0.2">
      <c r="A79" s="1">
        <f t="shared" si="1"/>
        <v>79</v>
      </c>
    </row>
    <row r="80" spans="1:1" x14ac:dyDescent="0.2">
      <c r="A80" s="1">
        <f t="shared" si="1"/>
        <v>80</v>
      </c>
    </row>
    <row r="81" spans="1:1" x14ac:dyDescent="0.2">
      <c r="A81" s="1">
        <f t="shared" si="1"/>
        <v>81</v>
      </c>
    </row>
    <row r="82" spans="1:1" x14ac:dyDescent="0.2">
      <c r="A82" s="1">
        <f t="shared" si="1"/>
        <v>82</v>
      </c>
    </row>
    <row r="83" spans="1:1" x14ac:dyDescent="0.2">
      <c r="A83" s="1">
        <f t="shared" si="1"/>
        <v>83</v>
      </c>
    </row>
    <row r="84" spans="1:1" x14ac:dyDescent="0.2">
      <c r="A84" s="1">
        <f t="shared" si="1"/>
        <v>84</v>
      </c>
    </row>
    <row r="85" spans="1:1" x14ac:dyDescent="0.2">
      <c r="A85" s="1">
        <f t="shared" si="1"/>
        <v>85</v>
      </c>
    </row>
    <row r="86" spans="1:1" x14ac:dyDescent="0.2">
      <c r="A86" s="1">
        <f t="shared" si="1"/>
        <v>86</v>
      </c>
    </row>
    <row r="87" spans="1:1" x14ac:dyDescent="0.2">
      <c r="A87" s="1">
        <f t="shared" si="1"/>
        <v>87</v>
      </c>
    </row>
    <row r="88" spans="1:1" x14ac:dyDescent="0.2">
      <c r="A88" s="1">
        <f t="shared" si="1"/>
        <v>88</v>
      </c>
    </row>
    <row r="89" spans="1:1" x14ac:dyDescent="0.2">
      <c r="A89" s="1">
        <f t="shared" si="1"/>
        <v>89</v>
      </c>
    </row>
    <row r="90" spans="1:1" x14ac:dyDescent="0.2">
      <c r="A90" s="1">
        <f t="shared" si="1"/>
        <v>90</v>
      </c>
    </row>
    <row r="91" spans="1:1" x14ac:dyDescent="0.2">
      <c r="A91" s="1">
        <f t="shared" si="1"/>
        <v>91</v>
      </c>
    </row>
    <row r="92" spans="1:1" x14ac:dyDescent="0.2">
      <c r="A92" s="1">
        <f t="shared" si="1"/>
        <v>92</v>
      </c>
    </row>
    <row r="93" spans="1:1" x14ac:dyDescent="0.2">
      <c r="A93" s="1">
        <f t="shared" si="1"/>
        <v>93</v>
      </c>
    </row>
    <row r="94" spans="1:1" x14ac:dyDescent="0.2">
      <c r="A94" s="1">
        <f t="shared" si="1"/>
        <v>94</v>
      </c>
    </row>
    <row r="95" spans="1:1" x14ac:dyDescent="0.2">
      <c r="A95" s="1">
        <f t="shared" si="1"/>
        <v>95</v>
      </c>
    </row>
    <row r="96" spans="1:1" x14ac:dyDescent="0.2">
      <c r="A96" s="1">
        <f t="shared" si="1"/>
        <v>96</v>
      </c>
    </row>
    <row r="97" spans="1:1" x14ac:dyDescent="0.2">
      <c r="A97" s="1">
        <f t="shared" si="1"/>
        <v>97</v>
      </c>
    </row>
    <row r="98" spans="1:1" x14ac:dyDescent="0.2">
      <c r="A98" s="1">
        <f t="shared" si="1"/>
        <v>98</v>
      </c>
    </row>
    <row r="99" spans="1:1" x14ac:dyDescent="0.2">
      <c r="A99" s="1">
        <f t="shared" si="1"/>
        <v>99</v>
      </c>
    </row>
    <row r="100" spans="1:1" x14ac:dyDescent="0.2">
      <c r="A100" s="1">
        <f t="shared" si="1"/>
        <v>100</v>
      </c>
    </row>
    <row r="101" spans="1:1" x14ac:dyDescent="0.2">
      <c r="A101" s="1">
        <f t="shared" si="1"/>
        <v>101</v>
      </c>
    </row>
    <row r="102" spans="1:1" x14ac:dyDescent="0.2">
      <c r="A102" s="1">
        <f t="shared" si="1"/>
        <v>102</v>
      </c>
    </row>
    <row r="103" spans="1:1" x14ac:dyDescent="0.2">
      <c r="A103" s="1">
        <f t="shared" si="1"/>
        <v>103</v>
      </c>
    </row>
    <row r="104" spans="1:1" x14ac:dyDescent="0.2">
      <c r="A104" s="1">
        <f t="shared" si="1"/>
        <v>104</v>
      </c>
    </row>
    <row r="105" spans="1:1" x14ac:dyDescent="0.2">
      <c r="A105" s="1">
        <f t="shared" si="1"/>
        <v>105</v>
      </c>
    </row>
    <row r="106" spans="1:1" x14ac:dyDescent="0.2">
      <c r="A106" s="1">
        <f t="shared" si="1"/>
        <v>106</v>
      </c>
    </row>
    <row r="107" spans="1:1" x14ac:dyDescent="0.2">
      <c r="A107" s="1">
        <f t="shared" si="1"/>
        <v>107</v>
      </c>
    </row>
    <row r="108" spans="1:1" x14ac:dyDescent="0.2">
      <c r="A108" s="1">
        <f t="shared" si="1"/>
        <v>108</v>
      </c>
    </row>
    <row r="109" spans="1:1" x14ac:dyDescent="0.2">
      <c r="A109" s="1">
        <f t="shared" si="1"/>
        <v>109</v>
      </c>
    </row>
    <row r="110" spans="1:1" x14ac:dyDescent="0.2">
      <c r="A110" s="1">
        <f t="shared" si="1"/>
        <v>110</v>
      </c>
    </row>
    <row r="111" spans="1:1" x14ac:dyDescent="0.2">
      <c r="A111" s="1">
        <f t="shared" si="1"/>
        <v>111</v>
      </c>
    </row>
    <row r="112" spans="1:1" x14ac:dyDescent="0.2">
      <c r="A112" s="1">
        <f t="shared" si="1"/>
        <v>112</v>
      </c>
    </row>
    <row r="113" spans="1:1" x14ac:dyDescent="0.2">
      <c r="A113" s="1">
        <f t="shared" si="1"/>
        <v>113</v>
      </c>
    </row>
    <row r="114" spans="1:1" x14ac:dyDescent="0.2">
      <c r="A114" s="1">
        <f t="shared" si="1"/>
        <v>114</v>
      </c>
    </row>
    <row r="115" spans="1:1" x14ac:dyDescent="0.2">
      <c r="A115" s="1">
        <f t="shared" si="1"/>
        <v>115</v>
      </c>
    </row>
    <row r="116" spans="1:1" x14ac:dyDescent="0.2">
      <c r="A116" s="1">
        <f t="shared" si="1"/>
        <v>116</v>
      </c>
    </row>
    <row r="117" spans="1:1" x14ac:dyDescent="0.2">
      <c r="A117" s="1">
        <f t="shared" si="1"/>
        <v>117</v>
      </c>
    </row>
    <row r="118" spans="1:1" x14ac:dyDescent="0.2">
      <c r="A118" s="1">
        <f t="shared" si="1"/>
        <v>118</v>
      </c>
    </row>
    <row r="119" spans="1:1" x14ac:dyDescent="0.2">
      <c r="A119" s="1">
        <f t="shared" si="1"/>
        <v>119</v>
      </c>
    </row>
    <row r="120" spans="1:1" x14ac:dyDescent="0.2">
      <c r="A120" s="1">
        <f t="shared" si="1"/>
        <v>120</v>
      </c>
    </row>
    <row r="121" spans="1:1" x14ac:dyDescent="0.2">
      <c r="A121" s="1">
        <f t="shared" si="1"/>
        <v>121</v>
      </c>
    </row>
    <row r="122" spans="1:1" x14ac:dyDescent="0.2">
      <c r="A122" s="1">
        <f t="shared" si="1"/>
        <v>122</v>
      </c>
    </row>
    <row r="123" spans="1:1" x14ac:dyDescent="0.2">
      <c r="A123" s="1">
        <f t="shared" si="1"/>
        <v>123</v>
      </c>
    </row>
    <row r="124" spans="1:1" x14ac:dyDescent="0.2">
      <c r="A124" s="1">
        <f t="shared" si="1"/>
        <v>124</v>
      </c>
    </row>
    <row r="125" spans="1:1" x14ac:dyDescent="0.2">
      <c r="A125" s="1">
        <f t="shared" si="1"/>
        <v>125</v>
      </c>
    </row>
    <row r="126" spans="1:1" x14ac:dyDescent="0.2">
      <c r="A126" s="1">
        <f t="shared" si="1"/>
        <v>126</v>
      </c>
    </row>
    <row r="127" spans="1:1" x14ac:dyDescent="0.2">
      <c r="A127" s="1">
        <f t="shared" si="1"/>
        <v>127</v>
      </c>
    </row>
    <row r="128" spans="1:1" x14ac:dyDescent="0.2">
      <c r="A128" s="1">
        <f t="shared" si="1"/>
        <v>128</v>
      </c>
    </row>
    <row r="129" spans="1:1" x14ac:dyDescent="0.2">
      <c r="A129" s="1">
        <f t="shared" si="1"/>
        <v>129</v>
      </c>
    </row>
    <row r="130" spans="1:1" x14ac:dyDescent="0.2">
      <c r="A130" s="1">
        <f t="shared" ref="A130:A193" si="2">A129+1</f>
        <v>130</v>
      </c>
    </row>
    <row r="131" spans="1:1" x14ac:dyDescent="0.2">
      <c r="A131" s="1">
        <f t="shared" si="2"/>
        <v>131</v>
      </c>
    </row>
    <row r="132" spans="1:1" x14ac:dyDescent="0.2">
      <c r="A132" s="1">
        <f t="shared" si="2"/>
        <v>132</v>
      </c>
    </row>
    <row r="133" spans="1:1" x14ac:dyDescent="0.2">
      <c r="A133" s="1">
        <f t="shared" si="2"/>
        <v>133</v>
      </c>
    </row>
    <row r="134" spans="1:1" x14ac:dyDescent="0.2">
      <c r="A134" s="1">
        <f t="shared" si="2"/>
        <v>134</v>
      </c>
    </row>
    <row r="135" spans="1:1" x14ac:dyDescent="0.2">
      <c r="A135" s="1">
        <f t="shared" si="2"/>
        <v>135</v>
      </c>
    </row>
    <row r="136" spans="1:1" x14ac:dyDescent="0.2">
      <c r="A136" s="1">
        <f t="shared" si="2"/>
        <v>136</v>
      </c>
    </row>
    <row r="137" spans="1:1" x14ac:dyDescent="0.2">
      <c r="A137" s="1">
        <f t="shared" si="2"/>
        <v>137</v>
      </c>
    </row>
    <row r="138" spans="1:1" x14ac:dyDescent="0.2">
      <c r="A138" s="1">
        <f t="shared" si="2"/>
        <v>138</v>
      </c>
    </row>
    <row r="139" spans="1:1" x14ac:dyDescent="0.2">
      <c r="A139" s="1">
        <f t="shared" si="2"/>
        <v>139</v>
      </c>
    </row>
    <row r="140" spans="1:1" x14ac:dyDescent="0.2">
      <c r="A140" s="1">
        <f t="shared" si="2"/>
        <v>140</v>
      </c>
    </row>
    <row r="141" spans="1:1" x14ac:dyDescent="0.2">
      <c r="A141" s="1">
        <f t="shared" si="2"/>
        <v>141</v>
      </c>
    </row>
    <row r="142" spans="1:1" x14ac:dyDescent="0.2">
      <c r="A142" s="1">
        <f t="shared" si="2"/>
        <v>142</v>
      </c>
    </row>
    <row r="143" spans="1:1" x14ac:dyDescent="0.2">
      <c r="A143" s="1">
        <f t="shared" si="2"/>
        <v>143</v>
      </c>
    </row>
    <row r="144" spans="1:1" x14ac:dyDescent="0.2">
      <c r="A144" s="1">
        <f t="shared" si="2"/>
        <v>144</v>
      </c>
    </row>
    <row r="145" spans="1:1" x14ac:dyDescent="0.2">
      <c r="A145" s="1">
        <f t="shared" si="2"/>
        <v>145</v>
      </c>
    </row>
    <row r="146" spans="1:1" x14ac:dyDescent="0.2">
      <c r="A146" s="1">
        <f t="shared" si="2"/>
        <v>146</v>
      </c>
    </row>
    <row r="147" spans="1:1" x14ac:dyDescent="0.2">
      <c r="A147" s="1">
        <f t="shared" si="2"/>
        <v>147</v>
      </c>
    </row>
    <row r="148" spans="1:1" x14ac:dyDescent="0.2">
      <c r="A148" s="1">
        <f t="shared" si="2"/>
        <v>148</v>
      </c>
    </row>
    <row r="149" spans="1:1" x14ac:dyDescent="0.2">
      <c r="A149" s="1">
        <f t="shared" si="2"/>
        <v>149</v>
      </c>
    </row>
    <row r="150" spans="1:1" x14ac:dyDescent="0.2">
      <c r="A150" s="1">
        <f t="shared" si="2"/>
        <v>150</v>
      </c>
    </row>
    <row r="151" spans="1:1" x14ac:dyDescent="0.2">
      <c r="A151" s="1">
        <f t="shared" si="2"/>
        <v>151</v>
      </c>
    </row>
    <row r="152" spans="1:1" x14ac:dyDescent="0.2">
      <c r="A152" s="1">
        <f t="shared" si="2"/>
        <v>152</v>
      </c>
    </row>
    <row r="153" spans="1:1" x14ac:dyDescent="0.2">
      <c r="A153" s="1">
        <f t="shared" si="2"/>
        <v>153</v>
      </c>
    </row>
    <row r="154" spans="1:1" x14ac:dyDescent="0.2">
      <c r="A154" s="1">
        <f t="shared" si="2"/>
        <v>154</v>
      </c>
    </row>
    <row r="155" spans="1:1" x14ac:dyDescent="0.2">
      <c r="A155" s="1">
        <f t="shared" si="2"/>
        <v>155</v>
      </c>
    </row>
    <row r="156" spans="1:1" x14ac:dyDescent="0.2">
      <c r="A156" s="1">
        <f t="shared" si="2"/>
        <v>156</v>
      </c>
    </row>
    <row r="157" spans="1:1" x14ac:dyDescent="0.2">
      <c r="A157" s="1">
        <f t="shared" si="2"/>
        <v>157</v>
      </c>
    </row>
    <row r="158" spans="1:1" x14ac:dyDescent="0.2">
      <c r="A158" s="1">
        <f t="shared" si="2"/>
        <v>158</v>
      </c>
    </row>
    <row r="159" spans="1:1" x14ac:dyDescent="0.2">
      <c r="A159" s="1">
        <f t="shared" si="2"/>
        <v>159</v>
      </c>
    </row>
    <row r="160" spans="1:1" x14ac:dyDescent="0.2">
      <c r="A160" s="1">
        <f t="shared" si="2"/>
        <v>160</v>
      </c>
    </row>
    <row r="161" spans="1:1" x14ac:dyDescent="0.2">
      <c r="A161" s="1">
        <f t="shared" si="2"/>
        <v>161</v>
      </c>
    </row>
    <row r="162" spans="1:1" x14ac:dyDescent="0.2">
      <c r="A162" s="1">
        <f t="shared" si="2"/>
        <v>162</v>
      </c>
    </row>
    <row r="163" spans="1:1" x14ac:dyDescent="0.2">
      <c r="A163" s="1">
        <f t="shared" si="2"/>
        <v>163</v>
      </c>
    </row>
    <row r="164" spans="1:1" x14ac:dyDescent="0.2">
      <c r="A164" s="1">
        <f t="shared" si="2"/>
        <v>164</v>
      </c>
    </row>
    <row r="165" spans="1:1" x14ac:dyDescent="0.2">
      <c r="A165" s="1">
        <f t="shared" si="2"/>
        <v>165</v>
      </c>
    </row>
    <row r="166" spans="1:1" x14ac:dyDescent="0.2">
      <c r="A166" s="1">
        <f t="shared" si="2"/>
        <v>166</v>
      </c>
    </row>
    <row r="167" spans="1:1" x14ac:dyDescent="0.2">
      <c r="A167" s="1">
        <f t="shared" si="2"/>
        <v>167</v>
      </c>
    </row>
    <row r="168" spans="1:1" x14ac:dyDescent="0.2">
      <c r="A168" s="1">
        <f t="shared" si="2"/>
        <v>168</v>
      </c>
    </row>
    <row r="169" spans="1:1" x14ac:dyDescent="0.2">
      <c r="A169" s="1">
        <f t="shared" si="2"/>
        <v>169</v>
      </c>
    </row>
    <row r="170" spans="1:1" x14ac:dyDescent="0.2">
      <c r="A170" s="1">
        <f t="shared" si="2"/>
        <v>170</v>
      </c>
    </row>
    <row r="171" spans="1:1" x14ac:dyDescent="0.2">
      <c r="A171" s="1">
        <f t="shared" si="2"/>
        <v>171</v>
      </c>
    </row>
    <row r="172" spans="1:1" x14ac:dyDescent="0.2">
      <c r="A172" s="1">
        <f t="shared" si="2"/>
        <v>172</v>
      </c>
    </row>
    <row r="173" spans="1:1" x14ac:dyDescent="0.2">
      <c r="A173" s="1">
        <f t="shared" si="2"/>
        <v>173</v>
      </c>
    </row>
    <row r="174" spans="1:1" x14ac:dyDescent="0.2">
      <c r="A174" s="1">
        <f t="shared" si="2"/>
        <v>174</v>
      </c>
    </row>
    <row r="175" spans="1:1" x14ac:dyDescent="0.2">
      <c r="A175" s="1">
        <f t="shared" si="2"/>
        <v>175</v>
      </c>
    </row>
    <row r="176" spans="1:1" x14ac:dyDescent="0.2">
      <c r="A176" s="1">
        <f t="shared" si="2"/>
        <v>176</v>
      </c>
    </row>
    <row r="177" spans="1:1" x14ac:dyDescent="0.2">
      <c r="A177" s="1">
        <f t="shared" si="2"/>
        <v>177</v>
      </c>
    </row>
    <row r="178" spans="1:1" x14ac:dyDescent="0.2">
      <c r="A178" s="1">
        <f t="shared" si="2"/>
        <v>178</v>
      </c>
    </row>
    <row r="179" spans="1:1" x14ac:dyDescent="0.2">
      <c r="A179" s="1">
        <f t="shared" si="2"/>
        <v>179</v>
      </c>
    </row>
    <row r="180" spans="1:1" x14ac:dyDescent="0.2">
      <c r="A180" s="1">
        <f t="shared" si="2"/>
        <v>180</v>
      </c>
    </row>
    <row r="181" spans="1:1" x14ac:dyDescent="0.2">
      <c r="A181" s="1">
        <f t="shared" si="2"/>
        <v>181</v>
      </c>
    </row>
    <row r="182" spans="1:1" x14ac:dyDescent="0.2">
      <c r="A182" s="1">
        <f t="shared" si="2"/>
        <v>182</v>
      </c>
    </row>
    <row r="183" spans="1:1" x14ac:dyDescent="0.2">
      <c r="A183" s="1">
        <f t="shared" si="2"/>
        <v>183</v>
      </c>
    </row>
    <row r="184" spans="1:1" x14ac:dyDescent="0.2">
      <c r="A184" s="1">
        <f t="shared" si="2"/>
        <v>184</v>
      </c>
    </row>
    <row r="185" spans="1:1" x14ac:dyDescent="0.2">
      <c r="A185" s="1">
        <f t="shared" si="2"/>
        <v>185</v>
      </c>
    </row>
    <row r="186" spans="1:1" x14ac:dyDescent="0.2">
      <c r="A186" s="1">
        <f t="shared" si="2"/>
        <v>186</v>
      </c>
    </row>
    <row r="187" spans="1:1" x14ac:dyDescent="0.2">
      <c r="A187" s="1">
        <f t="shared" si="2"/>
        <v>187</v>
      </c>
    </row>
    <row r="188" spans="1:1" x14ac:dyDescent="0.2">
      <c r="A188" s="1">
        <f t="shared" si="2"/>
        <v>188</v>
      </c>
    </row>
    <row r="189" spans="1:1" x14ac:dyDescent="0.2">
      <c r="A189" s="1">
        <f t="shared" si="2"/>
        <v>189</v>
      </c>
    </row>
    <row r="190" spans="1:1" x14ac:dyDescent="0.2">
      <c r="A190" s="1">
        <f t="shared" si="2"/>
        <v>190</v>
      </c>
    </row>
    <row r="191" spans="1:1" x14ac:dyDescent="0.2">
      <c r="A191" s="1">
        <f t="shared" si="2"/>
        <v>191</v>
      </c>
    </row>
    <row r="192" spans="1:1" x14ac:dyDescent="0.2">
      <c r="A192" s="1">
        <f t="shared" si="2"/>
        <v>192</v>
      </c>
    </row>
    <row r="193" spans="1:1" x14ac:dyDescent="0.2">
      <c r="A193" s="1">
        <f t="shared" si="2"/>
        <v>193</v>
      </c>
    </row>
    <row r="194" spans="1:1" x14ac:dyDescent="0.2">
      <c r="A194" s="1">
        <f t="shared" ref="A194:A257" si="3">A193+1</f>
        <v>194</v>
      </c>
    </row>
    <row r="195" spans="1:1" x14ac:dyDescent="0.2">
      <c r="A195" s="1">
        <f t="shared" si="3"/>
        <v>195</v>
      </c>
    </row>
    <row r="196" spans="1:1" x14ac:dyDescent="0.2">
      <c r="A196" s="1">
        <f t="shared" si="3"/>
        <v>196</v>
      </c>
    </row>
    <row r="197" spans="1:1" x14ac:dyDescent="0.2">
      <c r="A197" s="1">
        <f t="shared" si="3"/>
        <v>197</v>
      </c>
    </row>
    <row r="198" spans="1:1" x14ac:dyDescent="0.2">
      <c r="A198" s="1">
        <f t="shared" si="3"/>
        <v>198</v>
      </c>
    </row>
    <row r="199" spans="1:1" x14ac:dyDescent="0.2">
      <c r="A199" s="1">
        <f t="shared" si="3"/>
        <v>199</v>
      </c>
    </row>
    <row r="200" spans="1:1" x14ac:dyDescent="0.2">
      <c r="A200" s="1">
        <f t="shared" si="3"/>
        <v>200</v>
      </c>
    </row>
    <row r="201" spans="1:1" x14ac:dyDescent="0.2">
      <c r="A201" s="1">
        <f t="shared" si="3"/>
        <v>201</v>
      </c>
    </row>
    <row r="202" spans="1:1" x14ac:dyDescent="0.2">
      <c r="A202" s="1">
        <f t="shared" si="3"/>
        <v>202</v>
      </c>
    </row>
    <row r="203" spans="1:1" x14ac:dyDescent="0.2">
      <c r="A203" s="1">
        <f t="shared" si="3"/>
        <v>203</v>
      </c>
    </row>
    <row r="204" spans="1:1" x14ac:dyDescent="0.2">
      <c r="A204" s="1">
        <f t="shared" si="3"/>
        <v>204</v>
      </c>
    </row>
    <row r="205" spans="1:1" x14ac:dyDescent="0.2">
      <c r="A205" s="1">
        <f t="shared" si="3"/>
        <v>205</v>
      </c>
    </row>
    <row r="206" spans="1:1" x14ac:dyDescent="0.2">
      <c r="A206" s="1">
        <f t="shared" si="3"/>
        <v>206</v>
      </c>
    </row>
    <row r="207" spans="1:1" x14ac:dyDescent="0.2">
      <c r="A207" s="1">
        <f t="shared" si="3"/>
        <v>207</v>
      </c>
    </row>
    <row r="208" spans="1:1" x14ac:dyDescent="0.2">
      <c r="A208" s="1">
        <f t="shared" si="3"/>
        <v>208</v>
      </c>
    </row>
    <row r="209" spans="1:1" x14ac:dyDescent="0.2">
      <c r="A209" s="1">
        <f t="shared" si="3"/>
        <v>209</v>
      </c>
    </row>
    <row r="210" spans="1:1" x14ac:dyDescent="0.2">
      <c r="A210" s="1">
        <f t="shared" si="3"/>
        <v>210</v>
      </c>
    </row>
    <row r="211" spans="1:1" x14ac:dyDescent="0.2">
      <c r="A211" s="1">
        <f t="shared" si="3"/>
        <v>211</v>
      </c>
    </row>
    <row r="212" spans="1:1" x14ac:dyDescent="0.2">
      <c r="A212" s="1">
        <f t="shared" si="3"/>
        <v>212</v>
      </c>
    </row>
    <row r="213" spans="1:1" x14ac:dyDescent="0.2">
      <c r="A213" s="1">
        <f t="shared" si="3"/>
        <v>213</v>
      </c>
    </row>
    <row r="214" spans="1:1" x14ac:dyDescent="0.2">
      <c r="A214" s="1">
        <f t="shared" si="3"/>
        <v>214</v>
      </c>
    </row>
    <row r="215" spans="1:1" x14ac:dyDescent="0.2">
      <c r="A215" s="1">
        <f t="shared" si="3"/>
        <v>215</v>
      </c>
    </row>
    <row r="216" spans="1:1" x14ac:dyDescent="0.2">
      <c r="A216" s="1">
        <f t="shared" si="3"/>
        <v>216</v>
      </c>
    </row>
    <row r="217" spans="1:1" x14ac:dyDescent="0.2">
      <c r="A217" s="1">
        <f t="shared" si="3"/>
        <v>217</v>
      </c>
    </row>
    <row r="218" spans="1:1" x14ac:dyDescent="0.2">
      <c r="A218" s="1">
        <f t="shared" si="3"/>
        <v>218</v>
      </c>
    </row>
    <row r="219" spans="1:1" x14ac:dyDescent="0.2">
      <c r="A219" s="1">
        <f t="shared" si="3"/>
        <v>219</v>
      </c>
    </row>
    <row r="220" spans="1:1" x14ac:dyDescent="0.2">
      <c r="A220" s="1">
        <f t="shared" si="3"/>
        <v>220</v>
      </c>
    </row>
    <row r="221" spans="1:1" x14ac:dyDescent="0.2">
      <c r="A221" s="1">
        <f t="shared" si="3"/>
        <v>221</v>
      </c>
    </row>
    <row r="222" spans="1:1" x14ac:dyDescent="0.2">
      <c r="A222" s="1">
        <f t="shared" si="3"/>
        <v>222</v>
      </c>
    </row>
    <row r="223" spans="1:1" x14ac:dyDescent="0.2">
      <c r="A223" s="1">
        <f t="shared" si="3"/>
        <v>223</v>
      </c>
    </row>
    <row r="224" spans="1:1" x14ac:dyDescent="0.2">
      <c r="A224" s="1">
        <f t="shared" si="3"/>
        <v>224</v>
      </c>
    </row>
    <row r="225" spans="1:1" x14ac:dyDescent="0.2">
      <c r="A225" s="1">
        <f t="shared" si="3"/>
        <v>225</v>
      </c>
    </row>
    <row r="226" spans="1:1" x14ac:dyDescent="0.2">
      <c r="A226" s="1">
        <f t="shared" si="3"/>
        <v>226</v>
      </c>
    </row>
    <row r="227" spans="1:1" x14ac:dyDescent="0.2">
      <c r="A227" s="1">
        <f t="shared" si="3"/>
        <v>227</v>
      </c>
    </row>
    <row r="228" spans="1:1" x14ac:dyDescent="0.2">
      <c r="A228" s="1">
        <f t="shared" si="3"/>
        <v>228</v>
      </c>
    </row>
    <row r="229" spans="1:1" x14ac:dyDescent="0.2">
      <c r="A229" s="1">
        <f t="shared" si="3"/>
        <v>229</v>
      </c>
    </row>
    <row r="230" spans="1:1" x14ac:dyDescent="0.2">
      <c r="A230" s="1">
        <f t="shared" si="3"/>
        <v>230</v>
      </c>
    </row>
    <row r="231" spans="1:1" x14ac:dyDescent="0.2">
      <c r="A231" s="1">
        <f t="shared" si="3"/>
        <v>231</v>
      </c>
    </row>
    <row r="232" spans="1:1" x14ac:dyDescent="0.2">
      <c r="A232" s="1">
        <f t="shared" si="3"/>
        <v>232</v>
      </c>
    </row>
    <row r="233" spans="1:1" x14ac:dyDescent="0.2">
      <c r="A233" s="1">
        <f t="shared" si="3"/>
        <v>233</v>
      </c>
    </row>
    <row r="234" spans="1:1" x14ac:dyDescent="0.2">
      <c r="A234" s="1">
        <f t="shared" si="3"/>
        <v>234</v>
      </c>
    </row>
    <row r="235" spans="1:1" x14ac:dyDescent="0.2">
      <c r="A235" s="1">
        <f t="shared" si="3"/>
        <v>235</v>
      </c>
    </row>
    <row r="236" spans="1:1" x14ac:dyDescent="0.2">
      <c r="A236" s="1">
        <f t="shared" si="3"/>
        <v>236</v>
      </c>
    </row>
    <row r="237" spans="1:1" x14ac:dyDescent="0.2">
      <c r="A237" s="1">
        <f t="shared" si="3"/>
        <v>237</v>
      </c>
    </row>
    <row r="238" spans="1:1" x14ac:dyDescent="0.2">
      <c r="A238" s="1">
        <f t="shared" si="3"/>
        <v>238</v>
      </c>
    </row>
    <row r="239" spans="1:1" x14ac:dyDescent="0.2">
      <c r="A239" s="1">
        <f t="shared" si="3"/>
        <v>239</v>
      </c>
    </row>
    <row r="240" spans="1:1" x14ac:dyDescent="0.2">
      <c r="A240" s="1">
        <f t="shared" si="3"/>
        <v>240</v>
      </c>
    </row>
    <row r="241" spans="1:1" x14ac:dyDescent="0.2">
      <c r="A241" s="1">
        <f t="shared" si="3"/>
        <v>241</v>
      </c>
    </row>
    <row r="242" spans="1:1" x14ac:dyDescent="0.2">
      <c r="A242" s="1">
        <f t="shared" si="3"/>
        <v>242</v>
      </c>
    </row>
    <row r="243" spans="1:1" x14ac:dyDescent="0.2">
      <c r="A243" s="1">
        <f t="shared" si="3"/>
        <v>243</v>
      </c>
    </row>
    <row r="244" spans="1:1" x14ac:dyDescent="0.2">
      <c r="A244" s="1">
        <f t="shared" si="3"/>
        <v>244</v>
      </c>
    </row>
    <row r="245" spans="1:1" x14ac:dyDescent="0.2">
      <c r="A245" s="1">
        <f t="shared" si="3"/>
        <v>245</v>
      </c>
    </row>
    <row r="246" spans="1:1" x14ac:dyDescent="0.2">
      <c r="A246" s="1">
        <f t="shared" si="3"/>
        <v>246</v>
      </c>
    </row>
    <row r="247" spans="1:1" x14ac:dyDescent="0.2">
      <c r="A247" s="1">
        <f t="shared" si="3"/>
        <v>247</v>
      </c>
    </row>
    <row r="248" spans="1:1" x14ac:dyDescent="0.2">
      <c r="A248" s="1">
        <f t="shared" si="3"/>
        <v>248</v>
      </c>
    </row>
    <row r="249" spans="1:1" x14ac:dyDescent="0.2">
      <c r="A249" s="1">
        <f t="shared" si="3"/>
        <v>249</v>
      </c>
    </row>
    <row r="250" spans="1:1" x14ac:dyDescent="0.2">
      <c r="A250" s="1">
        <f t="shared" si="3"/>
        <v>250</v>
      </c>
    </row>
    <row r="251" spans="1:1" x14ac:dyDescent="0.2">
      <c r="A251" s="1">
        <f t="shared" si="3"/>
        <v>251</v>
      </c>
    </row>
    <row r="252" spans="1:1" x14ac:dyDescent="0.2">
      <c r="A252" s="1">
        <f t="shared" si="3"/>
        <v>252</v>
      </c>
    </row>
    <row r="253" spans="1:1" x14ac:dyDescent="0.2">
      <c r="A253" s="1">
        <f t="shared" si="3"/>
        <v>253</v>
      </c>
    </row>
    <row r="254" spans="1:1" x14ac:dyDescent="0.2">
      <c r="A254" s="1">
        <f t="shared" si="3"/>
        <v>254</v>
      </c>
    </row>
    <row r="255" spans="1:1" x14ac:dyDescent="0.2">
      <c r="A255" s="1">
        <f t="shared" si="3"/>
        <v>255</v>
      </c>
    </row>
    <row r="256" spans="1:1" x14ac:dyDescent="0.2">
      <c r="A256" s="1">
        <f t="shared" si="3"/>
        <v>256</v>
      </c>
    </row>
    <row r="257" spans="1:1" x14ac:dyDescent="0.2">
      <c r="A257" s="1">
        <f t="shared" si="3"/>
        <v>257</v>
      </c>
    </row>
    <row r="258" spans="1:1" x14ac:dyDescent="0.2">
      <c r="A258" s="1">
        <f t="shared" ref="A258:A321" si="4">A257+1</f>
        <v>258</v>
      </c>
    </row>
    <row r="259" spans="1:1" x14ac:dyDescent="0.2">
      <c r="A259" s="1">
        <f t="shared" si="4"/>
        <v>259</v>
      </c>
    </row>
    <row r="260" spans="1:1" x14ac:dyDescent="0.2">
      <c r="A260" s="1">
        <f t="shared" si="4"/>
        <v>260</v>
      </c>
    </row>
    <row r="261" spans="1:1" x14ac:dyDescent="0.2">
      <c r="A261" s="1">
        <f t="shared" si="4"/>
        <v>261</v>
      </c>
    </row>
    <row r="262" spans="1:1" x14ac:dyDescent="0.2">
      <c r="A262" s="1">
        <f t="shared" si="4"/>
        <v>262</v>
      </c>
    </row>
    <row r="263" spans="1:1" x14ac:dyDescent="0.2">
      <c r="A263" s="1">
        <f t="shared" si="4"/>
        <v>263</v>
      </c>
    </row>
    <row r="264" spans="1:1" x14ac:dyDescent="0.2">
      <c r="A264" s="1">
        <f t="shared" si="4"/>
        <v>264</v>
      </c>
    </row>
    <row r="265" spans="1:1" x14ac:dyDescent="0.2">
      <c r="A265" s="1">
        <f t="shared" si="4"/>
        <v>265</v>
      </c>
    </row>
    <row r="266" spans="1:1" x14ac:dyDescent="0.2">
      <c r="A266" s="1">
        <f t="shared" si="4"/>
        <v>266</v>
      </c>
    </row>
    <row r="267" spans="1:1" x14ac:dyDescent="0.2">
      <c r="A267" s="1">
        <f t="shared" si="4"/>
        <v>267</v>
      </c>
    </row>
    <row r="268" spans="1:1" x14ac:dyDescent="0.2">
      <c r="A268" s="1">
        <f t="shared" si="4"/>
        <v>268</v>
      </c>
    </row>
    <row r="269" spans="1:1" x14ac:dyDescent="0.2">
      <c r="A269" s="1">
        <f t="shared" si="4"/>
        <v>269</v>
      </c>
    </row>
    <row r="270" spans="1:1" x14ac:dyDescent="0.2">
      <c r="A270" s="1">
        <f t="shared" si="4"/>
        <v>270</v>
      </c>
    </row>
    <row r="271" spans="1:1" x14ac:dyDescent="0.2">
      <c r="A271" s="1">
        <f t="shared" si="4"/>
        <v>271</v>
      </c>
    </row>
    <row r="272" spans="1:1" x14ac:dyDescent="0.2">
      <c r="A272" s="1">
        <f t="shared" si="4"/>
        <v>272</v>
      </c>
    </row>
    <row r="273" spans="1:1" x14ac:dyDescent="0.2">
      <c r="A273" s="1">
        <f t="shared" si="4"/>
        <v>273</v>
      </c>
    </row>
    <row r="274" spans="1:1" x14ac:dyDescent="0.2">
      <c r="A274" s="1">
        <f t="shared" si="4"/>
        <v>274</v>
      </c>
    </row>
    <row r="275" spans="1:1" x14ac:dyDescent="0.2">
      <c r="A275" s="1">
        <f t="shared" si="4"/>
        <v>275</v>
      </c>
    </row>
    <row r="276" spans="1:1" x14ac:dyDescent="0.2">
      <c r="A276" s="1">
        <f t="shared" si="4"/>
        <v>276</v>
      </c>
    </row>
    <row r="277" spans="1:1" x14ac:dyDescent="0.2">
      <c r="A277" s="1">
        <f t="shared" si="4"/>
        <v>277</v>
      </c>
    </row>
    <row r="278" spans="1:1" x14ac:dyDescent="0.2">
      <c r="A278" s="1">
        <f t="shared" si="4"/>
        <v>278</v>
      </c>
    </row>
    <row r="279" spans="1:1" x14ac:dyDescent="0.2">
      <c r="A279" s="1">
        <f t="shared" si="4"/>
        <v>279</v>
      </c>
    </row>
    <row r="280" spans="1:1" x14ac:dyDescent="0.2">
      <c r="A280" s="1">
        <f t="shared" si="4"/>
        <v>280</v>
      </c>
    </row>
    <row r="281" spans="1:1" x14ac:dyDescent="0.2">
      <c r="A281" s="1">
        <f t="shared" si="4"/>
        <v>281</v>
      </c>
    </row>
    <row r="282" spans="1:1" x14ac:dyDescent="0.2">
      <c r="A282" s="1">
        <f t="shared" si="4"/>
        <v>282</v>
      </c>
    </row>
    <row r="283" spans="1:1" x14ac:dyDescent="0.2">
      <c r="A283" s="1">
        <f t="shared" si="4"/>
        <v>283</v>
      </c>
    </row>
    <row r="284" spans="1:1" x14ac:dyDescent="0.2">
      <c r="A284" s="1">
        <f t="shared" si="4"/>
        <v>284</v>
      </c>
    </row>
    <row r="285" spans="1:1" x14ac:dyDescent="0.2">
      <c r="A285" s="1">
        <f t="shared" si="4"/>
        <v>285</v>
      </c>
    </row>
    <row r="286" spans="1:1" x14ac:dyDescent="0.2">
      <c r="A286" s="1">
        <f t="shared" si="4"/>
        <v>286</v>
      </c>
    </row>
    <row r="287" spans="1:1" x14ac:dyDescent="0.2">
      <c r="A287" s="1">
        <f t="shared" si="4"/>
        <v>287</v>
      </c>
    </row>
    <row r="288" spans="1:1" x14ac:dyDescent="0.2">
      <c r="A288" s="1">
        <f t="shared" si="4"/>
        <v>288</v>
      </c>
    </row>
    <row r="289" spans="1:1" x14ac:dyDescent="0.2">
      <c r="A289" s="1">
        <f t="shared" si="4"/>
        <v>289</v>
      </c>
    </row>
    <row r="290" spans="1:1" x14ac:dyDescent="0.2">
      <c r="A290" s="1">
        <f t="shared" si="4"/>
        <v>290</v>
      </c>
    </row>
    <row r="291" spans="1:1" x14ac:dyDescent="0.2">
      <c r="A291" s="1">
        <f t="shared" si="4"/>
        <v>291</v>
      </c>
    </row>
    <row r="292" spans="1:1" x14ac:dyDescent="0.2">
      <c r="A292" s="1">
        <f t="shared" si="4"/>
        <v>292</v>
      </c>
    </row>
    <row r="293" spans="1:1" x14ac:dyDescent="0.2">
      <c r="A293" s="1">
        <f t="shared" si="4"/>
        <v>293</v>
      </c>
    </row>
    <row r="294" spans="1:1" x14ac:dyDescent="0.2">
      <c r="A294" s="1">
        <f t="shared" si="4"/>
        <v>294</v>
      </c>
    </row>
    <row r="295" spans="1:1" x14ac:dyDescent="0.2">
      <c r="A295" s="1">
        <f t="shared" si="4"/>
        <v>295</v>
      </c>
    </row>
    <row r="296" spans="1:1" x14ac:dyDescent="0.2">
      <c r="A296" s="1">
        <f t="shared" si="4"/>
        <v>296</v>
      </c>
    </row>
    <row r="297" spans="1:1" x14ac:dyDescent="0.2">
      <c r="A297" s="1">
        <f t="shared" si="4"/>
        <v>297</v>
      </c>
    </row>
    <row r="298" spans="1:1" x14ac:dyDescent="0.2">
      <c r="A298" s="1">
        <f t="shared" si="4"/>
        <v>298</v>
      </c>
    </row>
    <row r="299" spans="1:1" x14ac:dyDescent="0.2">
      <c r="A299" s="1">
        <f t="shared" si="4"/>
        <v>299</v>
      </c>
    </row>
    <row r="300" spans="1:1" x14ac:dyDescent="0.2">
      <c r="A300" s="1">
        <f t="shared" si="4"/>
        <v>300</v>
      </c>
    </row>
    <row r="301" spans="1:1" x14ac:dyDescent="0.2">
      <c r="A301" s="1">
        <f t="shared" si="4"/>
        <v>301</v>
      </c>
    </row>
    <row r="302" spans="1:1" x14ac:dyDescent="0.2">
      <c r="A302" s="1">
        <f t="shared" si="4"/>
        <v>302</v>
      </c>
    </row>
    <row r="303" spans="1:1" x14ac:dyDescent="0.2">
      <c r="A303" s="1">
        <f t="shared" si="4"/>
        <v>303</v>
      </c>
    </row>
    <row r="304" spans="1:1" x14ac:dyDescent="0.2">
      <c r="A304" s="1">
        <f t="shared" si="4"/>
        <v>304</v>
      </c>
    </row>
    <row r="305" spans="1:1" x14ac:dyDescent="0.2">
      <c r="A305" s="1">
        <f t="shared" si="4"/>
        <v>305</v>
      </c>
    </row>
    <row r="306" spans="1:1" x14ac:dyDescent="0.2">
      <c r="A306" s="1">
        <f t="shared" si="4"/>
        <v>306</v>
      </c>
    </row>
    <row r="307" spans="1:1" x14ac:dyDescent="0.2">
      <c r="A307" s="1">
        <f t="shared" si="4"/>
        <v>307</v>
      </c>
    </row>
    <row r="308" spans="1:1" x14ac:dyDescent="0.2">
      <c r="A308" s="1">
        <f t="shared" si="4"/>
        <v>308</v>
      </c>
    </row>
    <row r="309" spans="1:1" x14ac:dyDescent="0.2">
      <c r="A309" s="1">
        <f t="shared" si="4"/>
        <v>309</v>
      </c>
    </row>
    <row r="310" spans="1:1" x14ac:dyDescent="0.2">
      <c r="A310" s="1">
        <f t="shared" si="4"/>
        <v>310</v>
      </c>
    </row>
    <row r="311" spans="1:1" x14ac:dyDescent="0.2">
      <c r="A311" s="1">
        <f t="shared" si="4"/>
        <v>311</v>
      </c>
    </row>
    <row r="312" spans="1:1" x14ac:dyDescent="0.2">
      <c r="A312" s="1">
        <f t="shared" si="4"/>
        <v>312</v>
      </c>
    </row>
    <row r="313" spans="1:1" x14ac:dyDescent="0.2">
      <c r="A313" s="1">
        <f t="shared" si="4"/>
        <v>313</v>
      </c>
    </row>
    <row r="314" spans="1:1" x14ac:dyDescent="0.2">
      <c r="A314" s="1">
        <f t="shared" si="4"/>
        <v>314</v>
      </c>
    </row>
    <row r="315" spans="1:1" x14ac:dyDescent="0.2">
      <c r="A315" s="1">
        <f t="shared" si="4"/>
        <v>315</v>
      </c>
    </row>
    <row r="316" spans="1:1" x14ac:dyDescent="0.2">
      <c r="A316" s="1">
        <f t="shared" si="4"/>
        <v>316</v>
      </c>
    </row>
    <row r="317" spans="1:1" x14ac:dyDescent="0.2">
      <c r="A317" s="1">
        <f t="shared" si="4"/>
        <v>317</v>
      </c>
    </row>
    <row r="318" spans="1:1" x14ac:dyDescent="0.2">
      <c r="A318" s="1">
        <f t="shared" si="4"/>
        <v>318</v>
      </c>
    </row>
    <row r="319" spans="1:1" x14ac:dyDescent="0.2">
      <c r="A319" s="1">
        <f t="shared" si="4"/>
        <v>319</v>
      </c>
    </row>
    <row r="320" spans="1:1" x14ac:dyDescent="0.2">
      <c r="A320" s="1">
        <f t="shared" si="4"/>
        <v>320</v>
      </c>
    </row>
    <row r="321" spans="1:1" x14ac:dyDescent="0.2">
      <c r="A321" s="1">
        <f t="shared" si="4"/>
        <v>321</v>
      </c>
    </row>
    <row r="322" spans="1:1" x14ac:dyDescent="0.2">
      <c r="A322" s="1">
        <f t="shared" ref="A322:A385" si="5">A321+1</f>
        <v>322</v>
      </c>
    </row>
    <row r="323" spans="1:1" x14ac:dyDescent="0.2">
      <c r="A323" s="1">
        <f t="shared" si="5"/>
        <v>323</v>
      </c>
    </row>
    <row r="324" spans="1:1" x14ac:dyDescent="0.2">
      <c r="A324" s="1">
        <f t="shared" si="5"/>
        <v>324</v>
      </c>
    </row>
    <row r="325" spans="1:1" x14ac:dyDescent="0.2">
      <c r="A325" s="1">
        <f t="shared" si="5"/>
        <v>325</v>
      </c>
    </row>
    <row r="326" spans="1:1" x14ac:dyDescent="0.2">
      <c r="A326" s="1">
        <f t="shared" si="5"/>
        <v>326</v>
      </c>
    </row>
    <row r="327" spans="1:1" x14ac:dyDescent="0.2">
      <c r="A327" s="1">
        <f t="shared" si="5"/>
        <v>327</v>
      </c>
    </row>
    <row r="328" spans="1:1" x14ac:dyDescent="0.2">
      <c r="A328" s="1">
        <f t="shared" si="5"/>
        <v>328</v>
      </c>
    </row>
    <row r="329" spans="1:1" x14ac:dyDescent="0.2">
      <c r="A329" s="1">
        <f t="shared" si="5"/>
        <v>329</v>
      </c>
    </row>
    <row r="330" spans="1:1" x14ac:dyDescent="0.2">
      <c r="A330" s="1">
        <f t="shared" si="5"/>
        <v>330</v>
      </c>
    </row>
    <row r="331" spans="1:1" x14ac:dyDescent="0.2">
      <c r="A331" s="1">
        <f t="shared" si="5"/>
        <v>331</v>
      </c>
    </row>
    <row r="332" spans="1:1" x14ac:dyDescent="0.2">
      <c r="A332" s="1">
        <f t="shared" si="5"/>
        <v>332</v>
      </c>
    </row>
    <row r="333" spans="1:1" x14ac:dyDescent="0.2">
      <c r="A333" s="1">
        <f t="shared" si="5"/>
        <v>333</v>
      </c>
    </row>
    <row r="334" spans="1:1" x14ac:dyDescent="0.2">
      <c r="A334" s="1">
        <f t="shared" si="5"/>
        <v>334</v>
      </c>
    </row>
    <row r="335" spans="1:1" x14ac:dyDescent="0.2">
      <c r="A335" s="1">
        <f t="shared" si="5"/>
        <v>335</v>
      </c>
    </row>
    <row r="336" spans="1:1" x14ac:dyDescent="0.2">
      <c r="A336" s="1">
        <f t="shared" si="5"/>
        <v>336</v>
      </c>
    </row>
    <row r="337" spans="1:1" x14ac:dyDescent="0.2">
      <c r="A337" s="1">
        <f t="shared" si="5"/>
        <v>337</v>
      </c>
    </row>
    <row r="338" spans="1:1" x14ac:dyDescent="0.2">
      <c r="A338" s="1">
        <f t="shared" si="5"/>
        <v>338</v>
      </c>
    </row>
    <row r="339" spans="1:1" x14ac:dyDescent="0.2">
      <c r="A339" s="1">
        <f t="shared" si="5"/>
        <v>339</v>
      </c>
    </row>
    <row r="340" spans="1:1" x14ac:dyDescent="0.2">
      <c r="A340" s="1">
        <f t="shared" si="5"/>
        <v>340</v>
      </c>
    </row>
    <row r="341" spans="1:1" x14ac:dyDescent="0.2">
      <c r="A341" s="1">
        <f t="shared" si="5"/>
        <v>341</v>
      </c>
    </row>
    <row r="342" spans="1:1" x14ac:dyDescent="0.2">
      <c r="A342" s="1">
        <f t="shared" si="5"/>
        <v>342</v>
      </c>
    </row>
    <row r="343" spans="1:1" x14ac:dyDescent="0.2">
      <c r="A343" s="1">
        <f t="shared" si="5"/>
        <v>343</v>
      </c>
    </row>
    <row r="344" spans="1:1" x14ac:dyDescent="0.2">
      <c r="A344" s="1">
        <f t="shared" si="5"/>
        <v>344</v>
      </c>
    </row>
    <row r="345" spans="1:1" x14ac:dyDescent="0.2">
      <c r="A345" s="1">
        <f t="shared" si="5"/>
        <v>345</v>
      </c>
    </row>
    <row r="346" spans="1:1" x14ac:dyDescent="0.2">
      <c r="A346" s="1">
        <f t="shared" si="5"/>
        <v>346</v>
      </c>
    </row>
    <row r="347" spans="1:1" x14ac:dyDescent="0.2">
      <c r="A347" s="1">
        <f t="shared" si="5"/>
        <v>347</v>
      </c>
    </row>
    <row r="348" spans="1:1" x14ac:dyDescent="0.2">
      <c r="A348" s="1">
        <f t="shared" si="5"/>
        <v>348</v>
      </c>
    </row>
    <row r="349" spans="1:1" x14ac:dyDescent="0.2">
      <c r="A349" s="1">
        <f t="shared" si="5"/>
        <v>349</v>
      </c>
    </row>
    <row r="350" spans="1:1" x14ac:dyDescent="0.2">
      <c r="A350" s="1">
        <f t="shared" si="5"/>
        <v>350</v>
      </c>
    </row>
    <row r="351" spans="1:1" x14ac:dyDescent="0.2">
      <c r="A351" s="1">
        <f t="shared" si="5"/>
        <v>351</v>
      </c>
    </row>
    <row r="352" spans="1:1" x14ac:dyDescent="0.2">
      <c r="A352" s="1">
        <f t="shared" si="5"/>
        <v>352</v>
      </c>
    </row>
    <row r="353" spans="1:1" x14ac:dyDescent="0.2">
      <c r="A353" s="1">
        <f t="shared" si="5"/>
        <v>353</v>
      </c>
    </row>
    <row r="354" spans="1:1" x14ac:dyDescent="0.2">
      <c r="A354" s="1">
        <f t="shared" si="5"/>
        <v>354</v>
      </c>
    </row>
    <row r="355" spans="1:1" x14ac:dyDescent="0.2">
      <c r="A355" s="1">
        <f t="shared" si="5"/>
        <v>355</v>
      </c>
    </row>
    <row r="356" spans="1:1" x14ac:dyDescent="0.2">
      <c r="A356" s="1">
        <f t="shared" si="5"/>
        <v>356</v>
      </c>
    </row>
    <row r="357" spans="1:1" x14ac:dyDescent="0.2">
      <c r="A357" s="1">
        <f t="shared" si="5"/>
        <v>357</v>
      </c>
    </row>
    <row r="358" spans="1:1" x14ac:dyDescent="0.2">
      <c r="A358" s="1">
        <f t="shared" si="5"/>
        <v>358</v>
      </c>
    </row>
    <row r="359" spans="1:1" x14ac:dyDescent="0.2">
      <c r="A359" s="1">
        <f t="shared" si="5"/>
        <v>359</v>
      </c>
    </row>
    <row r="360" spans="1:1" x14ac:dyDescent="0.2">
      <c r="A360" s="1">
        <f t="shared" si="5"/>
        <v>360</v>
      </c>
    </row>
    <row r="361" spans="1:1" x14ac:dyDescent="0.2">
      <c r="A361" s="1">
        <f t="shared" si="5"/>
        <v>361</v>
      </c>
    </row>
    <row r="362" spans="1:1" x14ac:dyDescent="0.2">
      <c r="A362" s="1">
        <f t="shared" si="5"/>
        <v>362</v>
      </c>
    </row>
    <row r="363" spans="1:1" x14ac:dyDescent="0.2">
      <c r="A363" s="1">
        <f t="shared" si="5"/>
        <v>363</v>
      </c>
    </row>
    <row r="364" spans="1:1" x14ac:dyDescent="0.2">
      <c r="A364" s="1">
        <f t="shared" si="5"/>
        <v>364</v>
      </c>
    </row>
    <row r="365" spans="1:1" x14ac:dyDescent="0.2">
      <c r="A365" s="1">
        <f t="shared" si="5"/>
        <v>365</v>
      </c>
    </row>
    <row r="366" spans="1:1" x14ac:dyDescent="0.2">
      <c r="A366" s="1">
        <f t="shared" si="5"/>
        <v>366</v>
      </c>
    </row>
    <row r="367" spans="1:1" x14ac:dyDescent="0.2">
      <c r="A367" s="1">
        <f t="shared" si="5"/>
        <v>367</v>
      </c>
    </row>
    <row r="368" spans="1:1" x14ac:dyDescent="0.2">
      <c r="A368" s="1">
        <f t="shared" si="5"/>
        <v>368</v>
      </c>
    </row>
    <row r="369" spans="1:1" x14ac:dyDescent="0.2">
      <c r="A369" s="1">
        <f t="shared" si="5"/>
        <v>369</v>
      </c>
    </row>
    <row r="370" spans="1:1" x14ac:dyDescent="0.2">
      <c r="A370" s="1">
        <f t="shared" si="5"/>
        <v>370</v>
      </c>
    </row>
    <row r="371" spans="1:1" x14ac:dyDescent="0.2">
      <c r="A371" s="1">
        <f t="shared" si="5"/>
        <v>371</v>
      </c>
    </row>
    <row r="372" spans="1:1" x14ac:dyDescent="0.2">
      <c r="A372" s="1">
        <f t="shared" si="5"/>
        <v>372</v>
      </c>
    </row>
    <row r="373" spans="1:1" x14ac:dyDescent="0.2">
      <c r="A373" s="1">
        <f t="shared" si="5"/>
        <v>373</v>
      </c>
    </row>
    <row r="374" spans="1:1" x14ac:dyDescent="0.2">
      <c r="A374" s="1">
        <f t="shared" si="5"/>
        <v>374</v>
      </c>
    </row>
    <row r="375" spans="1:1" x14ac:dyDescent="0.2">
      <c r="A375" s="1">
        <f t="shared" si="5"/>
        <v>375</v>
      </c>
    </row>
    <row r="376" spans="1:1" x14ac:dyDescent="0.2">
      <c r="A376" s="1">
        <f t="shared" si="5"/>
        <v>376</v>
      </c>
    </row>
    <row r="377" spans="1:1" x14ac:dyDescent="0.2">
      <c r="A377" s="1">
        <f t="shared" si="5"/>
        <v>377</v>
      </c>
    </row>
    <row r="378" spans="1:1" x14ac:dyDescent="0.2">
      <c r="A378" s="1">
        <f t="shared" si="5"/>
        <v>378</v>
      </c>
    </row>
    <row r="379" spans="1:1" x14ac:dyDescent="0.2">
      <c r="A379" s="1">
        <f t="shared" si="5"/>
        <v>379</v>
      </c>
    </row>
    <row r="380" spans="1:1" x14ac:dyDescent="0.2">
      <c r="A380" s="1">
        <f t="shared" si="5"/>
        <v>380</v>
      </c>
    </row>
    <row r="381" spans="1:1" x14ac:dyDescent="0.2">
      <c r="A381" s="1">
        <f t="shared" si="5"/>
        <v>381</v>
      </c>
    </row>
    <row r="382" spans="1:1" x14ac:dyDescent="0.2">
      <c r="A382" s="1">
        <f t="shared" si="5"/>
        <v>382</v>
      </c>
    </row>
    <row r="383" spans="1:1" x14ac:dyDescent="0.2">
      <c r="A383" s="1">
        <f t="shared" si="5"/>
        <v>383</v>
      </c>
    </row>
    <row r="384" spans="1:1" x14ac:dyDescent="0.2">
      <c r="A384" s="1">
        <f t="shared" si="5"/>
        <v>384</v>
      </c>
    </row>
    <row r="385" spans="1:1" x14ac:dyDescent="0.2">
      <c r="A385" s="1">
        <f t="shared" si="5"/>
        <v>385</v>
      </c>
    </row>
    <row r="386" spans="1:1" x14ac:dyDescent="0.2">
      <c r="A386" s="1">
        <f t="shared" ref="A386:A449" si="6">A385+1</f>
        <v>386</v>
      </c>
    </row>
    <row r="387" spans="1:1" x14ac:dyDescent="0.2">
      <c r="A387" s="1">
        <f t="shared" si="6"/>
        <v>387</v>
      </c>
    </row>
    <row r="388" spans="1:1" x14ac:dyDescent="0.2">
      <c r="A388" s="1">
        <f t="shared" si="6"/>
        <v>388</v>
      </c>
    </row>
    <row r="389" spans="1:1" x14ac:dyDescent="0.2">
      <c r="A389" s="1">
        <f t="shared" si="6"/>
        <v>389</v>
      </c>
    </row>
    <row r="390" spans="1:1" x14ac:dyDescent="0.2">
      <c r="A390" s="1">
        <f t="shared" si="6"/>
        <v>390</v>
      </c>
    </row>
    <row r="391" spans="1:1" x14ac:dyDescent="0.2">
      <c r="A391" s="1">
        <f t="shared" si="6"/>
        <v>391</v>
      </c>
    </row>
    <row r="392" spans="1:1" x14ac:dyDescent="0.2">
      <c r="A392" s="1">
        <f t="shared" si="6"/>
        <v>392</v>
      </c>
    </row>
    <row r="393" spans="1:1" x14ac:dyDescent="0.2">
      <c r="A393" s="1">
        <f t="shared" si="6"/>
        <v>393</v>
      </c>
    </row>
    <row r="394" spans="1:1" x14ac:dyDescent="0.2">
      <c r="A394" s="1">
        <f t="shared" si="6"/>
        <v>394</v>
      </c>
    </row>
    <row r="395" spans="1:1" x14ac:dyDescent="0.2">
      <c r="A395" s="1">
        <f t="shared" si="6"/>
        <v>395</v>
      </c>
    </row>
    <row r="396" spans="1:1" x14ac:dyDescent="0.2">
      <c r="A396" s="1">
        <f t="shared" si="6"/>
        <v>396</v>
      </c>
    </row>
    <row r="397" spans="1:1" x14ac:dyDescent="0.2">
      <c r="A397" s="1">
        <f t="shared" si="6"/>
        <v>397</v>
      </c>
    </row>
    <row r="398" spans="1:1" x14ac:dyDescent="0.2">
      <c r="A398" s="1">
        <f t="shared" si="6"/>
        <v>398</v>
      </c>
    </row>
    <row r="399" spans="1:1" x14ac:dyDescent="0.2">
      <c r="A399" s="1">
        <f t="shared" si="6"/>
        <v>399</v>
      </c>
    </row>
    <row r="400" spans="1:1" x14ac:dyDescent="0.2">
      <c r="A400" s="1">
        <f t="shared" si="6"/>
        <v>400</v>
      </c>
    </row>
    <row r="401" spans="1:1" x14ac:dyDescent="0.2">
      <c r="A401" s="1">
        <f t="shared" si="6"/>
        <v>401</v>
      </c>
    </row>
    <row r="402" spans="1:1" x14ac:dyDescent="0.2">
      <c r="A402" s="1">
        <f t="shared" si="6"/>
        <v>402</v>
      </c>
    </row>
    <row r="403" spans="1:1" x14ac:dyDescent="0.2">
      <c r="A403" s="1">
        <f t="shared" si="6"/>
        <v>403</v>
      </c>
    </row>
    <row r="404" spans="1:1" x14ac:dyDescent="0.2">
      <c r="A404" s="1">
        <f t="shared" si="6"/>
        <v>404</v>
      </c>
    </row>
    <row r="405" spans="1:1" x14ac:dyDescent="0.2">
      <c r="A405" s="1">
        <f t="shared" si="6"/>
        <v>405</v>
      </c>
    </row>
    <row r="406" spans="1:1" x14ac:dyDescent="0.2">
      <c r="A406" s="1">
        <f t="shared" si="6"/>
        <v>406</v>
      </c>
    </row>
    <row r="407" spans="1:1" x14ac:dyDescent="0.2">
      <c r="A407" s="1">
        <f t="shared" si="6"/>
        <v>407</v>
      </c>
    </row>
    <row r="408" spans="1:1" x14ac:dyDescent="0.2">
      <c r="A408" s="1">
        <f t="shared" si="6"/>
        <v>408</v>
      </c>
    </row>
    <row r="409" spans="1:1" x14ac:dyDescent="0.2">
      <c r="A409" s="1">
        <f t="shared" si="6"/>
        <v>409</v>
      </c>
    </row>
    <row r="410" spans="1:1" x14ac:dyDescent="0.2">
      <c r="A410" s="1">
        <f t="shared" si="6"/>
        <v>410</v>
      </c>
    </row>
    <row r="411" spans="1:1" x14ac:dyDescent="0.2">
      <c r="A411" s="1">
        <f t="shared" si="6"/>
        <v>411</v>
      </c>
    </row>
    <row r="412" spans="1:1" x14ac:dyDescent="0.2">
      <c r="A412" s="1">
        <f t="shared" si="6"/>
        <v>412</v>
      </c>
    </row>
    <row r="413" spans="1:1" x14ac:dyDescent="0.2">
      <c r="A413" s="1">
        <f t="shared" si="6"/>
        <v>413</v>
      </c>
    </row>
    <row r="414" spans="1:1" x14ac:dyDescent="0.2">
      <c r="A414" s="1">
        <f t="shared" si="6"/>
        <v>414</v>
      </c>
    </row>
    <row r="415" spans="1:1" x14ac:dyDescent="0.2">
      <c r="A415" s="1">
        <f t="shared" si="6"/>
        <v>415</v>
      </c>
    </row>
    <row r="416" spans="1:1" x14ac:dyDescent="0.2">
      <c r="A416" s="1">
        <f t="shared" si="6"/>
        <v>416</v>
      </c>
    </row>
    <row r="417" spans="1:1" x14ac:dyDescent="0.2">
      <c r="A417" s="1">
        <f t="shared" si="6"/>
        <v>417</v>
      </c>
    </row>
    <row r="418" spans="1:1" x14ac:dyDescent="0.2">
      <c r="A418" s="1">
        <f t="shared" si="6"/>
        <v>418</v>
      </c>
    </row>
    <row r="419" spans="1:1" x14ac:dyDescent="0.2">
      <c r="A419" s="1">
        <f t="shared" si="6"/>
        <v>419</v>
      </c>
    </row>
    <row r="420" spans="1:1" x14ac:dyDescent="0.2">
      <c r="A420" s="1">
        <f t="shared" si="6"/>
        <v>420</v>
      </c>
    </row>
    <row r="421" spans="1:1" x14ac:dyDescent="0.2">
      <c r="A421" s="1">
        <f t="shared" si="6"/>
        <v>421</v>
      </c>
    </row>
    <row r="422" spans="1:1" x14ac:dyDescent="0.2">
      <c r="A422" s="1">
        <f t="shared" si="6"/>
        <v>422</v>
      </c>
    </row>
    <row r="423" spans="1:1" x14ac:dyDescent="0.2">
      <c r="A423" s="1">
        <f t="shared" si="6"/>
        <v>423</v>
      </c>
    </row>
    <row r="424" spans="1:1" x14ac:dyDescent="0.2">
      <c r="A424" s="1">
        <f t="shared" si="6"/>
        <v>424</v>
      </c>
    </row>
    <row r="425" spans="1:1" x14ac:dyDescent="0.2">
      <c r="A425" s="1">
        <f t="shared" si="6"/>
        <v>425</v>
      </c>
    </row>
    <row r="426" spans="1:1" x14ac:dyDescent="0.2">
      <c r="A426" s="1">
        <f t="shared" si="6"/>
        <v>426</v>
      </c>
    </row>
    <row r="427" spans="1:1" x14ac:dyDescent="0.2">
      <c r="A427" s="1">
        <f t="shared" si="6"/>
        <v>427</v>
      </c>
    </row>
    <row r="428" spans="1:1" x14ac:dyDescent="0.2">
      <c r="A428" s="1">
        <f t="shared" si="6"/>
        <v>428</v>
      </c>
    </row>
    <row r="429" spans="1:1" x14ac:dyDescent="0.2">
      <c r="A429" s="1">
        <f t="shared" si="6"/>
        <v>429</v>
      </c>
    </row>
    <row r="430" spans="1:1" x14ac:dyDescent="0.2">
      <c r="A430" s="1">
        <f t="shared" si="6"/>
        <v>430</v>
      </c>
    </row>
    <row r="431" spans="1:1" x14ac:dyDescent="0.2">
      <c r="A431" s="1">
        <f t="shared" si="6"/>
        <v>431</v>
      </c>
    </row>
    <row r="432" spans="1:1" x14ac:dyDescent="0.2">
      <c r="A432" s="1">
        <f t="shared" si="6"/>
        <v>432</v>
      </c>
    </row>
    <row r="433" spans="1:1" x14ac:dyDescent="0.2">
      <c r="A433" s="1">
        <f t="shared" si="6"/>
        <v>433</v>
      </c>
    </row>
    <row r="434" spans="1:1" x14ac:dyDescent="0.2">
      <c r="A434" s="1">
        <f t="shared" si="6"/>
        <v>434</v>
      </c>
    </row>
    <row r="435" spans="1:1" x14ac:dyDescent="0.2">
      <c r="A435" s="1">
        <f t="shared" si="6"/>
        <v>435</v>
      </c>
    </row>
    <row r="436" spans="1:1" x14ac:dyDescent="0.2">
      <c r="A436" s="1">
        <f t="shared" si="6"/>
        <v>436</v>
      </c>
    </row>
    <row r="437" spans="1:1" x14ac:dyDescent="0.2">
      <c r="A437" s="1">
        <f t="shared" si="6"/>
        <v>437</v>
      </c>
    </row>
    <row r="438" spans="1:1" x14ac:dyDescent="0.2">
      <c r="A438" s="1">
        <f t="shared" si="6"/>
        <v>438</v>
      </c>
    </row>
    <row r="439" spans="1:1" x14ac:dyDescent="0.2">
      <c r="A439" s="1">
        <f t="shared" si="6"/>
        <v>439</v>
      </c>
    </row>
    <row r="440" spans="1:1" x14ac:dyDescent="0.2">
      <c r="A440" s="1">
        <f t="shared" si="6"/>
        <v>440</v>
      </c>
    </row>
    <row r="441" spans="1:1" x14ac:dyDescent="0.2">
      <c r="A441" s="1">
        <f t="shared" si="6"/>
        <v>441</v>
      </c>
    </row>
    <row r="442" spans="1:1" x14ac:dyDescent="0.2">
      <c r="A442" s="1">
        <f t="shared" si="6"/>
        <v>442</v>
      </c>
    </row>
    <row r="443" spans="1:1" x14ac:dyDescent="0.2">
      <c r="A443" s="1">
        <f t="shared" si="6"/>
        <v>443</v>
      </c>
    </row>
    <row r="444" spans="1:1" x14ac:dyDescent="0.2">
      <c r="A444" s="1">
        <f t="shared" si="6"/>
        <v>444</v>
      </c>
    </row>
    <row r="445" spans="1:1" x14ac:dyDescent="0.2">
      <c r="A445" s="1">
        <f t="shared" si="6"/>
        <v>445</v>
      </c>
    </row>
    <row r="446" spans="1:1" x14ac:dyDescent="0.2">
      <c r="A446" s="1">
        <f t="shared" si="6"/>
        <v>446</v>
      </c>
    </row>
    <row r="447" spans="1:1" x14ac:dyDescent="0.2">
      <c r="A447" s="1">
        <f t="shared" si="6"/>
        <v>447</v>
      </c>
    </row>
    <row r="448" spans="1:1" x14ac:dyDescent="0.2">
      <c r="A448" s="1">
        <f t="shared" si="6"/>
        <v>448</v>
      </c>
    </row>
    <row r="449" spans="1:1" x14ac:dyDescent="0.2">
      <c r="A449" s="1">
        <f t="shared" si="6"/>
        <v>449</v>
      </c>
    </row>
    <row r="450" spans="1:1" x14ac:dyDescent="0.2">
      <c r="A450" s="1">
        <f t="shared" ref="A450:A513" si="7">A449+1</f>
        <v>450</v>
      </c>
    </row>
    <row r="451" spans="1:1" x14ac:dyDescent="0.2">
      <c r="A451" s="1">
        <f t="shared" si="7"/>
        <v>451</v>
      </c>
    </row>
    <row r="452" spans="1:1" x14ac:dyDescent="0.2">
      <c r="A452" s="1">
        <f t="shared" si="7"/>
        <v>452</v>
      </c>
    </row>
    <row r="453" spans="1:1" x14ac:dyDescent="0.2">
      <c r="A453" s="1">
        <f t="shared" si="7"/>
        <v>453</v>
      </c>
    </row>
    <row r="454" spans="1:1" x14ac:dyDescent="0.2">
      <c r="A454" s="1">
        <f t="shared" si="7"/>
        <v>454</v>
      </c>
    </row>
    <row r="455" spans="1:1" x14ac:dyDescent="0.2">
      <c r="A455" s="1">
        <f t="shared" si="7"/>
        <v>455</v>
      </c>
    </row>
    <row r="456" spans="1:1" x14ac:dyDescent="0.2">
      <c r="A456" s="1">
        <f t="shared" si="7"/>
        <v>456</v>
      </c>
    </row>
    <row r="457" spans="1:1" x14ac:dyDescent="0.2">
      <c r="A457" s="1">
        <f t="shared" si="7"/>
        <v>457</v>
      </c>
    </row>
    <row r="458" spans="1:1" x14ac:dyDescent="0.2">
      <c r="A458" s="1">
        <f t="shared" si="7"/>
        <v>458</v>
      </c>
    </row>
    <row r="459" spans="1:1" x14ac:dyDescent="0.2">
      <c r="A459" s="1">
        <f t="shared" si="7"/>
        <v>459</v>
      </c>
    </row>
    <row r="460" spans="1:1" x14ac:dyDescent="0.2">
      <c r="A460" s="1">
        <f t="shared" si="7"/>
        <v>460</v>
      </c>
    </row>
    <row r="461" spans="1:1" x14ac:dyDescent="0.2">
      <c r="A461" s="1">
        <f t="shared" si="7"/>
        <v>461</v>
      </c>
    </row>
    <row r="462" spans="1:1" x14ac:dyDescent="0.2">
      <c r="A462" s="1">
        <f t="shared" si="7"/>
        <v>462</v>
      </c>
    </row>
    <row r="463" spans="1:1" x14ac:dyDescent="0.2">
      <c r="A463" s="1">
        <f t="shared" si="7"/>
        <v>463</v>
      </c>
    </row>
    <row r="464" spans="1:1" x14ac:dyDescent="0.2">
      <c r="A464" s="1">
        <f t="shared" si="7"/>
        <v>464</v>
      </c>
    </row>
    <row r="465" spans="1:1" x14ac:dyDescent="0.2">
      <c r="A465" s="1">
        <f t="shared" si="7"/>
        <v>465</v>
      </c>
    </row>
    <row r="466" spans="1:1" x14ac:dyDescent="0.2">
      <c r="A466" s="1">
        <f t="shared" si="7"/>
        <v>466</v>
      </c>
    </row>
    <row r="467" spans="1:1" x14ac:dyDescent="0.2">
      <c r="A467" s="1">
        <f t="shared" si="7"/>
        <v>467</v>
      </c>
    </row>
    <row r="468" spans="1:1" x14ac:dyDescent="0.2">
      <c r="A468" s="1">
        <f t="shared" si="7"/>
        <v>468</v>
      </c>
    </row>
    <row r="469" spans="1:1" x14ac:dyDescent="0.2">
      <c r="A469" s="1">
        <f t="shared" si="7"/>
        <v>469</v>
      </c>
    </row>
    <row r="470" spans="1:1" x14ac:dyDescent="0.2">
      <c r="A470" s="1">
        <f t="shared" si="7"/>
        <v>470</v>
      </c>
    </row>
    <row r="471" spans="1:1" x14ac:dyDescent="0.2">
      <c r="A471" s="1">
        <f t="shared" si="7"/>
        <v>471</v>
      </c>
    </row>
    <row r="472" spans="1:1" x14ac:dyDescent="0.2">
      <c r="A472" s="1">
        <f t="shared" si="7"/>
        <v>472</v>
      </c>
    </row>
    <row r="473" spans="1:1" x14ac:dyDescent="0.2">
      <c r="A473" s="1">
        <f t="shared" si="7"/>
        <v>473</v>
      </c>
    </row>
    <row r="474" spans="1:1" x14ac:dyDescent="0.2">
      <c r="A474" s="1">
        <f t="shared" si="7"/>
        <v>474</v>
      </c>
    </row>
    <row r="475" spans="1:1" x14ac:dyDescent="0.2">
      <c r="A475" s="1">
        <f t="shared" si="7"/>
        <v>475</v>
      </c>
    </row>
    <row r="476" spans="1:1" x14ac:dyDescent="0.2">
      <c r="A476" s="1">
        <f t="shared" si="7"/>
        <v>476</v>
      </c>
    </row>
    <row r="477" spans="1:1" x14ac:dyDescent="0.2">
      <c r="A477" s="1">
        <f t="shared" si="7"/>
        <v>477</v>
      </c>
    </row>
    <row r="478" spans="1:1" x14ac:dyDescent="0.2">
      <c r="A478" s="1">
        <f t="shared" si="7"/>
        <v>478</v>
      </c>
    </row>
    <row r="479" spans="1:1" x14ac:dyDescent="0.2">
      <c r="A479" s="1">
        <f t="shared" si="7"/>
        <v>479</v>
      </c>
    </row>
    <row r="480" spans="1:1" x14ac:dyDescent="0.2">
      <c r="A480" s="1">
        <f t="shared" si="7"/>
        <v>480</v>
      </c>
    </row>
    <row r="481" spans="1:1" x14ac:dyDescent="0.2">
      <c r="A481" s="1">
        <f t="shared" si="7"/>
        <v>481</v>
      </c>
    </row>
    <row r="482" spans="1:1" x14ac:dyDescent="0.2">
      <c r="A482" s="1">
        <f t="shared" si="7"/>
        <v>482</v>
      </c>
    </row>
    <row r="483" spans="1:1" x14ac:dyDescent="0.2">
      <c r="A483" s="1">
        <f t="shared" si="7"/>
        <v>483</v>
      </c>
    </row>
    <row r="484" spans="1:1" x14ac:dyDescent="0.2">
      <c r="A484" s="1">
        <f t="shared" si="7"/>
        <v>484</v>
      </c>
    </row>
    <row r="485" spans="1:1" x14ac:dyDescent="0.2">
      <c r="A485" s="1">
        <f t="shared" si="7"/>
        <v>485</v>
      </c>
    </row>
    <row r="486" spans="1:1" x14ac:dyDescent="0.2">
      <c r="A486" s="1">
        <f t="shared" si="7"/>
        <v>486</v>
      </c>
    </row>
    <row r="487" spans="1:1" x14ac:dyDescent="0.2">
      <c r="A487" s="1">
        <f t="shared" si="7"/>
        <v>487</v>
      </c>
    </row>
    <row r="488" spans="1:1" x14ac:dyDescent="0.2">
      <c r="A488" s="1">
        <f t="shared" si="7"/>
        <v>488</v>
      </c>
    </row>
    <row r="489" spans="1:1" x14ac:dyDescent="0.2">
      <c r="A489" s="1">
        <f t="shared" si="7"/>
        <v>489</v>
      </c>
    </row>
    <row r="490" spans="1:1" x14ac:dyDescent="0.2">
      <c r="A490" s="1">
        <f t="shared" si="7"/>
        <v>490</v>
      </c>
    </row>
    <row r="491" spans="1:1" x14ac:dyDescent="0.2">
      <c r="A491" s="1">
        <f t="shared" si="7"/>
        <v>491</v>
      </c>
    </row>
    <row r="492" spans="1:1" x14ac:dyDescent="0.2">
      <c r="A492" s="1">
        <f t="shared" si="7"/>
        <v>492</v>
      </c>
    </row>
    <row r="493" spans="1:1" x14ac:dyDescent="0.2">
      <c r="A493" s="1">
        <f t="shared" si="7"/>
        <v>493</v>
      </c>
    </row>
    <row r="494" spans="1:1" x14ac:dyDescent="0.2">
      <c r="A494" s="1">
        <f t="shared" si="7"/>
        <v>494</v>
      </c>
    </row>
    <row r="495" spans="1:1" x14ac:dyDescent="0.2">
      <c r="A495" s="1">
        <f t="shared" si="7"/>
        <v>495</v>
      </c>
    </row>
    <row r="496" spans="1:1" x14ac:dyDescent="0.2">
      <c r="A496" s="1">
        <f t="shared" si="7"/>
        <v>496</v>
      </c>
    </row>
    <row r="497" spans="1:1" x14ac:dyDescent="0.2">
      <c r="A497" s="1">
        <f t="shared" si="7"/>
        <v>497</v>
      </c>
    </row>
    <row r="498" spans="1:1" x14ac:dyDescent="0.2">
      <c r="A498" s="1">
        <f t="shared" si="7"/>
        <v>498</v>
      </c>
    </row>
    <row r="499" spans="1:1" x14ac:dyDescent="0.2">
      <c r="A499" s="1">
        <f t="shared" si="7"/>
        <v>499</v>
      </c>
    </row>
    <row r="500" spans="1:1" x14ac:dyDescent="0.2">
      <c r="A500" s="1">
        <f t="shared" si="7"/>
        <v>500</v>
      </c>
    </row>
    <row r="501" spans="1:1" x14ac:dyDescent="0.2">
      <c r="A501" s="1">
        <f t="shared" si="7"/>
        <v>501</v>
      </c>
    </row>
    <row r="502" spans="1:1" x14ac:dyDescent="0.2">
      <c r="A502" s="1">
        <f t="shared" si="7"/>
        <v>502</v>
      </c>
    </row>
    <row r="503" spans="1:1" x14ac:dyDescent="0.2">
      <c r="A503" s="1">
        <f t="shared" si="7"/>
        <v>503</v>
      </c>
    </row>
    <row r="504" spans="1:1" x14ac:dyDescent="0.2">
      <c r="A504" s="1">
        <f t="shared" si="7"/>
        <v>504</v>
      </c>
    </row>
    <row r="505" spans="1:1" x14ac:dyDescent="0.2">
      <c r="A505" s="1">
        <f t="shared" si="7"/>
        <v>505</v>
      </c>
    </row>
    <row r="506" spans="1:1" x14ac:dyDescent="0.2">
      <c r="A506" s="1">
        <f t="shared" si="7"/>
        <v>506</v>
      </c>
    </row>
    <row r="507" spans="1:1" x14ac:dyDescent="0.2">
      <c r="A507" s="1">
        <f t="shared" si="7"/>
        <v>507</v>
      </c>
    </row>
    <row r="508" spans="1:1" x14ac:dyDescent="0.2">
      <c r="A508" s="1">
        <f t="shared" si="7"/>
        <v>508</v>
      </c>
    </row>
    <row r="509" spans="1:1" x14ac:dyDescent="0.2">
      <c r="A509" s="1">
        <f t="shared" si="7"/>
        <v>509</v>
      </c>
    </row>
    <row r="510" spans="1:1" x14ac:dyDescent="0.2">
      <c r="A510" s="1">
        <f t="shared" si="7"/>
        <v>510</v>
      </c>
    </row>
    <row r="511" spans="1:1" x14ac:dyDescent="0.2">
      <c r="A511" s="1">
        <f t="shared" si="7"/>
        <v>511</v>
      </c>
    </row>
    <row r="512" spans="1:1" x14ac:dyDescent="0.2">
      <c r="A512" s="1">
        <f t="shared" si="7"/>
        <v>512</v>
      </c>
    </row>
    <row r="513" spans="1:1" x14ac:dyDescent="0.2">
      <c r="A513" s="1">
        <f t="shared" si="7"/>
        <v>513</v>
      </c>
    </row>
    <row r="514" spans="1:1" x14ac:dyDescent="0.2">
      <c r="A514" s="1">
        <f t="shared" ref="A514:A577" si="8">A513+1</f>
        <v>514</v>
      </c>
    </row>
    <row r="515" spans="1:1" x14ac:dyDescent="0.2">
      <c r="A515" s="1">
        <f t="shared" si="8"/>
        <v>515</v>
      </c>
    </row>
    <row r="516" spans="1:1" x14ac:dyDescent="0.2">
      <c r="A516" s="1">
        <f t="shared" si="8"/>
        <v>516</v>
      </c>
    </row>
    <row r="517" spans="1:1" x14ac:dyDescent="0.2">
      <c r="A517" s="1">
        <f t="shared" si="8"/>
        <v>517</v>
      </c>
    </row>
    <row r="518" spans="1:1" x14ac:dyDescent="0.2">
      <c r="A518" s="1">
        <f t="shared" si="8"/>
        <v>518</v>
      </c>
    </row>
    <row r="519" spans="1:1" x14ac:dyDescent="0.2">
      <c r="A519" s="1">
        <f t="shared" si="8"/>
        <v>519</v>
      </c>
    </row>
    <row r="520" spans="1:1" x14ac:dyDescent="0.2">
      <c r="A520" s="1">
        <f t="shared" si="8"/>
        <v>520</v>
      </c>
    </row>
    <row r="521" spans="1:1" x14ac:dyDescent="0.2">
      <c r="A521" s="1">
        <f t="shared" si="8"/>
        <v>521</v>
      </c>
    </row>
    <row r="522" spans="1:1" x14ac:dyDescent="0.2">
      <c r="A522" s="1">
        <f t="shared" si="8"/>
        <v>522</v>
      </c>
    </row>
    <row r="523" spans="1:1" x14ac:dyDescent="0.2">
      <c r="A523" s="1">
        <f t="shared" si="8"/>
        <v>523</v>
      </c>
    </row>
    <row r="524" spans="1:1" x14ac:dyDescent="0.2">
      <c r="A524" s="1">
        <f t="shared" si="8"/>
        <v>524</v>
      </c>
    </row>
    <row r="525" spans="1:1" x14ac:dyDescent="0.2">
      <c r="A525" s="1">
        <f t="shared" si="8"/>
        <v>525</v>
      </c>
    </row>
    <row r="526" spans="1:1" x14ac:dyDescent="0.2">
      <c r="A526" s="1">
        <f t="shared" si="8"/>
        <v>526</v>
      </c>
    </row>
    <row r="527" spans="1:1" x14ac:dyDescent="0.2">
      <c r="A527" s="1">
        <f t="shared" si="8"/>
        <v>527</v>
      </c>
    </row>
    <row r="528" spans="1:1" x14ac:dyDescent="0.2">
      <c r="A528" s="1">
        <f t="shared" si="8"/>
        <v>528</v>
      </c>
    </row>
    <row r="529" spans="1:1" x14ac:dyDescent="0.2">
      <c r="A529" s="1">
        <f t="shared" si="8"/>
        <v>529</v>
      </c>
    </row>
    <row r="530" spans="1:1" x14ac:dyDescent="0.2">
      <c r="A530" s="1">
        <f t="shared" si="8"/>
        <v>530</v>
      </c>
    </row>
    <row r="531" spans="1:1" x14ac:dyDescent="0.2">
      <c r="A531" s="1">
        <f t="shared" si="8"/>
        <v>531</v>
      </c>
    </row>
    <row r="532" spans="1:1" x14ac:dyDescent="0.2">
      <c r="A532" s="1">
        <f t="shared" si="8"/>
        <v>532</v>
      </c>
    </row>
    <row r="533" spans="1:1" x14ac:dyDescent="0.2">
      <c r="A533" s="1">
        <f t="shared" si="8"/>
        <v>533</v>
      </c>
    </row>
    <row r="534" spans="1:1" x14ac:dyDescent="0.2">
      <c r="A534" s="1">
        <f t="shared" si="8"/>
        <v>534</v>
      </c>
    </row>
    <row r="535" spans="1:1" x14ac:dyDescent="0.2">
      <c r="A535" s="1">
        <f t="shared" si="8"/>
        <v>535</v>
      </c>
    </row>
    <row r="536" spans="1:1" x14ac:dyDescent="0.2">
      <c r="A536" s="1">
        <f t="shared" si="8"/>
        <v>536</v>
      </c>
    </row>
    <row r="537" spans="1:1" x14ac:dyDescent="0.2">
      <c r="A537" s="1">
        <f t="shared" si="8"/>
        <v>537</v>
      </c>
    </row>
    <row r="538" spans="1:1" x14ac:dyDescent="0.2">
      <c r="A538" s="1">
        <f t="shared" si="8"/>
        <v>538</v>
      </c>
    </row>
    <row r="539" spans="1:1" x14ac:dyDescent="0.2">
      <c r="A539" s="1">
        <f t="shared" si="8"/>
        <v>539</v>
      </c>
    </row>
    <row r="540" spans="1:1" x14ac:dyDescent="0.2">
      <c r="A540" s="1">
        <f t="shared" si="8"/>
        <v>540</v>
      </c>
    </row>
    <row r="541" spans="1:1" x14ac:dyDescent="0.2">
      <c r="A541" s="1">
        <f t="shared" si="8"/>
        <v>541</v>
      </c>
    </row>
    <row r="542" spans="1:1" x14ac:dyDescent="0.2">
      <c r="A542" s="1">
        <f t="shared" si="8"/>
        <v>542</v>
      </c>
    </row>
    <row r="543" spans="1:1" x14ac:dyDescent="0.2">
      <c r="A543" s="1">
        <f t="shared" si="8"/>
        <v>543</v>
      </c>
    </row>
    <row r="544" spans="1:1" x14ac:dyDescent="0.2">
      <c r="A544" s="1">
        <f t="shared" si="8"/>
        <v>544</v>
      </c>
    </row>
    <row r="545" spans="1:1" x14ac:dyDescent="0.2">
      <c r="A545" s="1">
        <f t="shared" si="8"/>
        <v>545</v>
      </c>
    </row>
    <row r="546" spans="1:1" x14ac:dyDescent="0.2">
      <c r="A546" s="1">
        <f t="shared" si="8"/>
        <v>546</v>
      </c>
    </row>
    <row r="547" spans="1:1" x14ac:dyDescent="0.2">
      <c r="A547" s="1">
        <f t="shared" si="8"/>
        <v>547</v>
      </c>
    </row>
    <row r="548" spans="1:1" x14ac:dyDescent="0.2">
      <c r="A548" s="1">
        <f t="shared" si="8"/>
        <v>548</v>
      </c>
    </row>
    <row r="549" spans="1:1" x14ac:dyDescent="0.2">
      <c r="A549" s="1">
        <f t="shared" si="8"/>
        <v>549</v>
      </c>
    </row>
    <row r="550" spans="1:1" x14ac:dyDescent="0.2">
      <c r="A550" s="1">
        <f t="shared" si="8"/>
        <v>550</v>
      </c>
    </row>
    <row r="551" spans="1:1" x14ac:dyDescent="0.2">
      <c r="A551" s="1">
        <f t="shared" si="8"/>
        <v>551</v>
      </c>
    </row>
    <row r="552" spans="1:1" x14ac:dyDescent="0.2">
      <c r="A552" s="1">
        <f t="shared" si="8"/>
        <v>552</v>
      </c>
    </row>
    <row r="553" spans="1:1" x14ac:dyDescent="0.2">
      <c r="A553" s="1">
        <f t="shared" si="8"/>
        <v>553</v>
      </c>
    </row>
    <row r="554" spans="1:1" x14ac:dyDescent="0.2">
      <c r="A554" s="1">
        <f t="shared" si="8"/>
        <v>554</v>
      </c>
    </row>
    <row r="555" spans="1:1" x14ac:dyDescent="0.2">
      <c r="A555" s="1">
        <f t="shared" si="8"/>
        <v>555</v>
      </c>
    </row>
    <row r="556" spans="1:1" x14ac:dyDescent="0.2">
      <c r="A556" s="1">
        <f t="shared" si="8"/>
        <v>556</v>
      </c>
    </row>
    <row r="557" spans="1:1" x14ac:dyDescent="0.2">
      <c r="A557" s="1">
        <f t="shared" si="8"/>
        <v>557</v>
      </c>
    </row>
    <row r="558" spans="1:1" x14ac:dyDescent="0.2">
      <c r="A558" s="1">
        <f t="shared" si="8"/>
        <v>558</v>
      </c>
    </row>
    <row r="559" spans="1:1" x14ac:dyDescent="0.2">
      <c r="A559" s="1">
        <f t="shared" si="8"/>
        <v>559</v>
      </c>
    </row>
    <row r="560" spans="1:1" x14ac:dyDescent="0.2">
      <c r="A560" s="1">
        <f t="shared" si="8"/>
        <v>560</v>
      </c>
    </row>
    <row r="561" spans="1:1" x14ac:dyDescent="0.2">
      <c r="A561" s="1">
        <f t="shared" si="8"/>
        <v>561</v>
      </c>
    </row>
    <row r="562" spans="1:1" x14ac:dyDescent="0.2">
      <c r="A562" s="1">
        <f t="shared" si="8"/>
        <v>562</v>
      </c>
    </row>
    <row r="563" spans="1:1" x14ac:dyDescent="0.2">
      <c r="A563" s="1">
        <f t="shared" si="8"/>
        <v>563</v>
      </c>
    </row>
    <row r="564" spans="1:1" x14ac:dyDescent="0.2">
      <c r="A564" s="1">
        <f t="shared" si="8"/>
        <v>564</v>
      </c>
    </row>
    <row r="565" spans="1:1" x14ac:dyDescent="0.2">
      <c r="A565" s="1">
        <f t="shared" si="8"/>
        <v>565</v>
      </c>
    </row>
    <row r="566" spans="1:1" x14ac:dyDescent="0.2">
      <c r="A566" s="1">
        <f t="shared" si="8"/>
        <v>566</v>
      </c>
    </row>
    <row r="567" spans="1:1" x14ac:dyDescent="0.2">
      <c r="A567" s="1">
        <f t="shared" si="8"/>
        <v>567</v>
      </c>
    </row>
    <row r="568" spans="1:1" x14ac:dyDescent="0.2">
      <c r="A568" s="1">
        <f t="shared" si="8"/>
        <v>568</v>
      </c>
    </row>
    <row r="569" spans="1:1" x14ac:dyDescent="0.2">
      <c r="A569" s="1">
        <f t="shared" si="8"/>
        <v>569</v>
      </c>
    </row>
    <row r="570" spans="1:1" x14ac:dyDescent="0.2">
      <c r="A570" s="1">
        <f t="shared" si="8"/>
        <v>570</v>
      </c>
    </row>
    <row r="571" spans="1:1" x14ac:dyDescent="0.2">
      <c r="A571" s="1">
        <f t="shared" si="8"/>
        <v>571</v>
      </c>
    </row>
    <row r="572" spans="1:1" x14ac:dyDescent="0.2">
      <c r="A572" s="1">
        <f t="shared" si="8"/>
        <v>572</v>
      </c>
    </row>
    <row r="573" spans="1:1" x14ac:dyDescent="0.2">
      <c r="A573" s="1">
        <f t="shared" si="8"/>
        <v>573</v>
      </c>
    </row>
    <row r="574" spans="1:1" x14ac:dyDescent="0.2">
      <c r="A574" s="1">
        <f t="shared" si="8"/>
        <v>574</v>
      </c>
    </row>
    <row r="575" spans="1:1" x14ac:dyDescent="0.2">
      <c r="A575" s="1">
        <f t="shared" si="8"/>
        <v>575</v>
      </c>
    </row>
    <row r="576" spans="1:1" x14ac:dyDescent="0.2">
      <c r="A576" s="1">
        <f t="shared" si="8"/>
        <v>576</v>
      </c>
    </row>
    <row r="577" spans="1:1" x14ac:dyDescent="0.2">
      <c r="A577" s="1">
        <f t="shared" si="8"/>
        <v>577</v>
      </c>
    </row>
    <row r="578" spans="1:1" x14ac:dyDescent="0.2">
      <c r="A578" s="1">
        <f t="shared" ref="A578:A641" si="9">A577+1</f>
        <v>578</v>
      </c>
    </row>
    <row r="579" spans="1:1" x14ac:dyDescent="0.2">
      <c r="A579" s="1">
        <f t="shared" si="9"/>
        <v>579</v>
      </c>
    </row>
    <row r="580" spans="1:1" x14ac:dyDescent="0.2">
      <c r="A580" s="1">
        <f t="shared" si="9"/>
        <v>580</v>
      </c>
    </row>
    <row r="581" spans="1:1" x14ac:dyDescent="0.2">
      <c r="A581" s="1">
        <f t="shared" si="9"/>
        <v>581</v>
      </c>
    </row>
    <row r="582" spans="1:1" x14ac:dyDescent="0.2">
      <c r="A582" s="1">
        <f t="shared" si="9"/>
        <v>582</v>
      </c>
    </row>
    <row r="583" spans="1:1" x14ac:dyDescent="0.2">
      <c r="A583" s="1">
        <f t="shared" si="9"/>
        <v>583</v>
      </c>
    </row>
    <row r="584" spans="1:1" x14ac:dyDescent="0.2">
      <c r="A584" s="1">
        <f t="shared" si="9"/>
        <v>584</v>
      </c>
    </row>
    <row r="585" spans="1:1" x14ac:dyDescent="0.2">
      <c r="A585" s="1">
        <f t="shared" si="9"/>
        <v>585</v>
      </c>
    </row>
    <row r="586" spans="1:1" x14ac:dyDescent="0.2">
      <c r="A586" s="1">
        <f t="shared" si="9"/>
        <v>586</v>
      </c>
    </row>
    <row r="587" spans="1:1" x14ac:dyDescent="0.2">
      <c r="A587" s="1">
        <f t="shared" si="9"/>
        <v>587</v>
      </c>
    </row>
    <row r="588" spans="1:1" x14ac:dyDescent="0.2">
      <c r="A588" s="1">
        <f t="shared" si="9"/>
        <v>588</v>
      </c>
    </row>
    <row r="589" spans="1:1" x14ac:dyDescent="0.2">
      <c r="A589" s="1">
        <f t="shared" si="9"/>
        <v>589</v>
      </c>
    </row>
    <row r="590" spans="1:1" x14ac:dyDescent="0.2">
      <c r="A590" s="1">
        <f t="shared" si="9"/>
        <v>590</v>
      </c>
    </row>
    <row r="591" spans="1:1" x14ac:dyDescent="0.2">
      <c r="A591" s="1">
        <f t="shared" si="9"/>
        <v>591</v>
      </c>
    </row>
    <row r="592" spans="1:1" x14ac:dyDescent="0.2">
      <c r="A592" s="1">
        <f t="shared" si="9"/>
        <v>592</v>
      </c>
    </row>
    <row r="593" spans="1:1" x14ac:dyDescent="0.2">
      <c r="A593" s="1">
        <f t="shared" si="9"/>
        <v>593</v>
      </c>
    </row>
    <row r="594" spans="1:1" x14ac:dyDescent="0.2">
      <c r="A594" s="1">
        <f t="shared" si="9"/>
        <v>594</v>
      </c>
    </row>
    <row r="595" spans="1:1" x14ac:dyDescent="0.2">
      <c r="A595" s="1">
        <f t="shared" si="9"/>
        <v>595</v>
      </c>
    </row>
    <row r="596" spans="1:1" x14ac:dyDescent="0.2">
      <c r="A596" s="1">
        <f t="shared" si="9"/>
        <v>596</v>
      </c>
    </row>
    <row r="597" spans="1:1" x14ac:dyDescent="0.2">
      <c r="A597" s="1">
        <f t="shared" si="9"/>
        <v>597</v>
      </c>
    </row>
    <row r="598" spans="1:1" x14ac:dyDescent="0.2">
      <c r="A598" s="1">
        <f t="shared" si="9"/>
        <v>598</v>
      </c>
    </row>
    <row r="599" spans="1:1" x14ac:dyDescent="0.2">
      <c r="A599" s="1">
        <f t="shared" si="9"/>
        <v>599</v>
      </c>
    </row>
    <row r="600" spans="1:1" x14ac:dyDescent="0.2">
      <c r="A600" s="1">
        <f t="shared" si="9"/>
        <v>600</v>
      </c>
    </row>
    <row r="601" spans="1:1" x14ac:dyDescent="0.2">
      <c r="A601" s="1">
        <f t="shared" si="9"/>
        <v>601</v>
      </c>
    </row>
    <row r="602" spans="1:1" x14ac:dyDescent="0.2">
      <c r="A602" s="1">
        <f t="shared" si="9"/>
        <v>602</v>
      </c>
    </row>
    <row r="603" spans="1:1" x14ac:dyDescent="0.2">
      <c r="A603" s="1">
        <f t="shared" si="9"/>
        <v>603</v>
      </c>
    </row>
    <row r="604" spans="1:1" x14ac:dyDescent="0.2">
      <c r="A604" s="1">
        <f t="shared" si="9"/>
        <v>604</v>
      </c>
    </row>
    <row r="605" spans="1:1" x14ac:dyDescent="0.2">
      <c r="A605" s="1">
        <f t="shared" si="9"/>
        <v>605</v>
      </c>
    </row>
    <row r="606" spans="1:1" x14ac:dyDescent="0.2">
      <c r="A606" s="1">
        <f t="shared" si="9"/>
        <v>606</v>
      </c>
    </row>
    <row r="607" spans="1:1" x14ac:dyDescent="0.2">
      <c r="A607" s="1">
        <f t="shared" si="9"/>
        <v>607</v>
      </c>
    </row>
    <row r="608" spans="1:1" x14ac:dyDescent="0.2">
      <c r="A608" s="1">
        <f t="shared" si="9"/>
        <v>608</v>
      </c>
    </row>
    <row r="609" spans="1:1" x14ac:dyDescent="0.2">
      <c r="A609" s="1">
        <f t="shared" si="9"/>
        <v>609</v>
      </c>
    </row>
    <row r="610" spans="1:1" x14ac:dyDescent="0.2">
      <c r="A610" s="1">
        <f t="shared" si="9"/>
        <v>610</v>
      </c>
    </row>
    <row r="611" spans="1:1" x14ac:dyDescent="0.2">
      <c r="A611" s="1">
        <f t="shared" si="9"/>
        <v>611</v>
      </c>
    </row>
    <row r="612" spans="1:1" x14ac:dyDescent="0.2">
      <c r="A612" s="1">
        <f t="shared" si="9"/>
        <v>612</v>
      </c>
    </row>
    <row r="613" spans="1:1" x14ac:dyDescent="0.2">
      <c r="A613" s="1">
        <f t="shared" si="9"/>
        <v>613</v>
      </c>
    </row>
    <row r="614" spans="1:1" x14ac:dyDescent="0.2">
      <c r="A614" s="1">
        <f t="shared" si="9"/>
        <v>614</v>
      </c>
    </row>
    <row r="615" spans="1:1" x14ac:dyDescent="0.2">
      <c r="A615" s="1">
        <f t="shared" si="9"/>
        <v>615</v>
      </c>
    </row>
    <row r="616" spans="1:1" x14ac:dyDescent="0.2">
      <c r="A616" s="1">
        <f t="shared" si="9"/>
        <v>616</v>
      </c>
    </row>
    <row r="617" spans="1:1" x14ac:dyDescent="0.2">
      <c r="A617" s="1">
        <f t="shared" si="9"/>
        <v>617</v>
      </c>
    </row>
    <row r="618" spans="1:1" x14ac:dyDescent="0.2">
      <c r="A618" s="1">
        <f t="shared" si="9"/>
        <v>618</v>
      </c>
    </row>
    <row r="619" spans="1:1" x14ac:dyDescent="0.2">
      <c r="A619" s="1">
        <f t="shared" si="9"/>
        <v>619</v>
      </c>
    </row>
    <row r="620" spans="1:1" x14ac:dyDescent="0.2">
      <c r="A620" s="1">
        <f t="shared" si="9"/>
        <v>620</v>
      </c>
    </row>
    <row r="621" spans="1:1" x14ac:dyDescent="0.2">
      <c r="A621" s="1">
        <f t="shared" si="9"/>
        <v>621</v>
      </c>
    </row>
    <row r="622" spans="1:1" x14ac:dyDescent="0.2">
      <c r="A622" s="1">
        <f t="shared" si="9"/>
        <v>622</v>
      </c>
    </row>
    <row r="623" spans="1:1" x14ac:dyDescent="0.2">
      <c r="A623" s="1">
        <f t="shared" si="9"/>
        <v>623</v>
      </c>
    </row>
    <row r="624" spans="1:1" x14ac:dyDescent="0.2">
      <c r="A624" s="1">
        <f t="shared" si="9"/>
        <v>624</v>
      </c>
    </row>
    <row r="625" spans="1:1" x14ac:dyDescent="0.2">
      <c r="A625" s="1">
        <f t="shared" si="9"/>
        <v>625</v>
      </c>
    </row>
    <row r="626" spans="1:1" x14ac:dyDescent="0.2">
      <c r="A626" s="1">
        <f t="shared" si="9"/>
        <v>626</v>
      </c>
    </row>
    <row r="627" spans="1:1" x14ac:dyDescent="0.2">
      <c r="A627" s="1">
        <f t="shared" si="9"/>
        <v>627</v>
      </c>
    </row>
    <row r="628" spans="1:1" x14ac:dyDescent="0.2">
      <c r="A628" s="1">
        <f t="shared" si="9"/>
        <v>628</v>
      </c>
    </row>
    <row r="629" spans="1:1" x14ac:dyDescent="0.2">
      <c r="A629" s="1">
        <f t="shared" si="9"/>
        <v>629</v>
      </c>
    </row>
    <row r="630" spans="1:1" x14ac:dyDescent="0.2">
      <c r="A630" s="1">
        <f t="shared" si="9"/>
        <v>630</v>
      </c>
    </row>
    <row r="631" spans="1:1" x14ac:dyDescent="0.2">
      <c r="A631" s="1">
        <f t="shared" si="9"/>
        <v>631</v>
      </c>
    </row>
    <row r="632" spans="1:1" x14ac:dyDescent="0.2">
      <c r="A632" s="1">
        <f t="shared" si="9"/>
        <v>632</v>
      </c>
    </row>
    <row r="633" spans="1:1" x14ac:dyDescent="0.2">
      <c r="A633" s="1">
        <f t="shared" si="9"/>
        <v>633</v>
      </c>
    </row>
    <row r="634" spans="1:1" x14ac:dyDescent="0.2">
      <c r="A634" s="1">
        <f t="shared" si="9"/>
        <v>634</v>
      </c>
    </row>
    <row r="635" spans="1:1" x14ac:dyDescent="0.2">
      <c r="A635" s="1">
        <f t="shared" si="9"/>
        <v>635</v>
      </c>
    </row>
    <row r="636" spans="1:1" x14ac:dyDescent="0.2">
      <c r="A636" s="1">
        <f t="shared" si="9"/>
        <v>636</v>
      </c>
    </row>
    <row r="637" spans="1:1" x14ac:dyDescent="0.2">
      <c r="A637" s="1">
        <f t="shared" si="9"/>
        <v>637</v>
      </c>
    </row>
    <row r="638" spans="1:1" x14ac:dyDescent="0.2">
      <c r="A638" s="1">
        <f t="shared" si="9"/>
        <v>638</v>
      </c>
    </row>
    <row r="639" spans="1:1" x14ac:dyDescent="0.2">
      <c r="A639" s="1">
        <f t="shared" si="9"/>
        <v>639</v>
      </c>
    </row>
    <row r="640" spans="1:1" x14ac:dyDescent="0.2">
      <c r="A640" s="1">
        <f t="shared" si="9"/>
        <v>640</v>
      </c>
    </row>
    <row r="641" spans="1:1" x14ac:dyDescent="0.2">
      <c r="A641" s="1">
        <f t="shared" si="9"/>
        <v>641</v>
      </c>
    </row>
    <row r="642" spans="1:1" x14ac:dyDescent="0.2">
      <c r="A642" s="1">
        <f t="shared" ref="A642:A654" si="10">A641+1</f>
        <v>642</v>
      </c>
    </row>
    <row r="643" spans="1:1" x14ac:dyDescent="0.2">
      <c r="A643" s="1">
        <f t="shared" si="10"/>
        <v>643</v>
      </c>
    </row>
    <row r="644" spans="1:1" x14ac:dyDescent="0.2">
      <c r="A644" s="1">
        <f t="shared" si="10"/>
        <v>644</v>
      </c>
    </row>
    <row r="645" spans="1:1" x14ac:dyDescent="0.2">
      <c r="A645" s="1">
        <f t="shared" si="10"/>
        <v>645</v>
      </c>
    </row>
    <row r="646" spans="1:1" x14ac:dyDescent="0.2">
      <c r="A646" s="1">
        <f t="shared" si="10"/>
        <v>646</v>
      </c>
    </row>
    <row r="647" spans="1:1" x14ac:dyDescent="0.2">
      <c r="A647" s="1">
        <f t="shared" si="10"/>
        <v>647</v>
      </c>
    </row>
    <row r="648" spans="1:1" x14ac:dyDescent="0.2">
      <c r="A648" s="1">
        <f t="shared" si="10"/>
        <v>648</v>
      </c>
    </row>
    <row r="649" spans="1:1" x14ac:dyDescent="0.2">
      <c r="A649" s="1">
        <f t="shared" si="10"/>
        <v>649</v>
      </c>
    </row>
    <row r="650" spans="1:1" x14ac:dyDescent="0.2">
      <c r="A650" s="1">
        <f t="shared" si="10"/>
        <v>650</v>
      </c>
    </row>
    <row r="651" spans="1:1" x14ac:dyDescent="0.2">
      <c r="A651" s="1">
        <f t="shared" si="10"/>
        <v>651</v>
      </c>
    </row>
    <row r="652" spans="1:1" x14ac:dyDescent="0.2">
      <c r="A652" s="1">
        <f t="shared" si="10"/>
        <v>652</v>
      </c>
    </row>
    <row r="653" spans="1:1" x14ac:dyDescent="0.2">
      <c r="A653" s="1">
        <f t="shared" si="10"/>
        <v>653</v>
      </c>
    </row>
    <row r="654" spans="1:1" x14ac:dyDescent="0.2">
      <c r="A654" s="1">
        <f t="shared" si="10"/>
        <v>654</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241"/>
  <sheetViews>
    <sheetView zoomScale="110" zoomScaleNormal="110" workbookViewId="0">
      <selection activeCell="B3" sqref="B3"/>
    </sheetView>
  </sheetViews>
  <sheetFormatPr defaultColWidth="8.7109375" defaultRowHeight="12.75" x14ac:dyDescent="0.2"/>
  <cols>
    <col min="1" max="1" width="50.5703125" style="1" customWidth="1"/>
  </cols>
  <sheetData>
    <row r="2" spans="1:2" x14ac:dyDescent="0.2">
      <c r="A2" s="1" t="s">
        <v>3027</v>
      </c>
    </row>
    <row r="3" spans="1:2" x14ac:dyDescent="0.2">
      <c r="A3" s="9" t="s">
        <v>44</v>
      </c>
      <c r="B3" s="1" t="s">
        <v>3028</v>
      </c>
    </row>
    <row r="4" spans="1:2" x14ac:dyDescent="0.2">
      <c r="A4" s="9" t="s">
        <v>52</v>
      </c>
      <c r="B4" s="1" t="s">
        <v>3028</v>
      </c>
    </row>
    <row r="5" spans="1:2" x14ac:dyDescent="0.2">
      <c r="A5" s="9" t="s">
        <v>56</v>
      </c>
      <c r="B5" s="1" t="s">
        <v>3028</v>
      </c>
    </row>
    <row r="6" spans="1:2" x14ac:dyDescent="0.2">
      <c r="A6" s="9" t="s">
        <v>60</v>
      </c>
      <c r="B6" s="1" t="s">
        <v>3028</v>
      </c>
    </row>
    <row r="7" spans="1:2" x14ac:dyDescent="0.2">
      <c r="A7" s="9" t="s">
        <v>64</v>
      </c>
      <c r="B7" s="1" t="s">
        <v>3028</v>
      </c>
    </row>
    <row r="8" spans="1:2" x14ac:dyDescent="0.2">
      <c r="A8" s="9" t="s">
        <v>68</v>
      </c>
      <c r="B8" s="1" t="s">
        <v>3028</v>
      </c>
    </row>
    <row r="9" spans="1:2" x14ac:dyDescent="0.2">
      <c r="A9" s="9" t="s">
        <v>72</v>
      </c>
      <c r="B9" s="1" t="s">
        <v>3028</v>
      </c>
    </row>
    <row r="10" spans="1:2" x14ac:dyDescent="0.2">
      <c r="A10" s="9" t="s">
        <v>76</v>
      </c>
      <c r="B10" s="1" t="s">
        <v>3028</v>
      </c>
    </row>
    <row r="11" spans="1:2" x14ac:dyDescent="0.2">
      <c r="A11" s="9" t="s">
        <v>80</v>
      </c>
      <c r="B11" s="1" t="s">
        <v>3028</v>
      </c>
    </row>
    <row r="12" spans="1:2" x14ac:dyDescent="0.2">
      <c r="A12" s="9" t="s">
        <v>84</v>
      </c>
      <c r="B12" s="1" t="s">
        <v>3028</v>
      </c>
    </row>
    <row r="13" spans="1:2" x14ac:dyDescent="0.2">
      <c r="A13" s="9" t="s">
        <v>88</v>
      </c>
      <c r="B13" s="1" t="s">
        <v>3028</v>
      </c>
    </row>
    <row r="14" spans="1:2" x14ac:dyDescent="0.2">
      <c r="A14" s="9" t="s">
        <v>92</v>
      </c>
      <c r="B14" s="1" t="s">
        <v>3028</v>
      </c>
    </row>
    <row r="15" spans="1:2" x14ac:dyDescent="0.2">
      <c r="A15" s="9" t="s">
        <v>96</v>
      </c>
      <c r="B15" s="1" t="s">
        <v>3028</v>
      </c>
    </row>
    <row r="16" spans="1:2" x14ac:dyDescent="0.2">
      <c r="A16" s="9" t="s">
        <v>100</v>
      </c>
      <c r="B16" s="1" t="s">
        <v>3028</v>
      </c>
    </row>
    <row r="17" spans="1:2" x14ac:dyDescent="0.2">
      <c r="A17" s="9" t="s">
        <v>104</v>
      </c>
      <c r="B17" s="1" t="s">
        <v>3028</v>
      </c>
    </row>
    <row r="18" spans="1:2" x14ac:dyDescent="0.2">
      <c r="A18" s="9" t="s">
        <v>108</v>
      </c>
      <c r="B18" s="1" t="s">
        <v>3028</v>
      </c>
    </row>
    <row r="19" spans="1:2" x14ac:dyDescent="0.2">
      <c r="A19" s="9" t="s">
        <v>112</v>
      </c>
      <c r="B19" s="1" t="s">
        <v>3028</v>
      </c>
    </row>
    <row r="20" spans="1:2" x14ac:dyDescent="0.2">
      <c r="A20" s="9" t="s">
        <v>116</v>
      </c>
      <c r="B20" s="1" t="s">
        <v>3028</v>
      </c>
    </row>
    <row r="21" spans="1:2" x14ac:dyDescent="0.2">
      <c r="A21" s="9" t="s">
        <v>120</v>
      </c>
      <c r="B21" s="1" t="s">
        <v>3028</v>
      </c>
    </row>
    <row r="22" spans="1:2" x14ac:dyDescent="0.2">
      <c r="A22" s="9" t="s">
        <v>124</v>
      </c>
      <c r="B22" s="1" t="s">
        <v>3028</v>
      </c>
    </row>
    <row r="23" spans="1:2" x14ac:dyDescent="0.2">
      <c r="A23" s="9" t="s">
        <v>128</v>
      </c>
      <c r="B23" s="1" t="s">
        <v>3028</v>
      </c>
    </row>
    <row r="24" spans="1:2" x14ac:dyDescent="0.2">
      <c r="A24" s="9" t="s">
        <v>132</v>
      </c>
      <c r="B24" s="1" t="s">
        <v>3028</v>
      </c>
    </row>
    <row r="25" spans="1:2" x14ac:dyDescent="0.2">
      <c r="A25" s="9" t="s">
        <v>136</v>
      </c>
      <c r="B25" s="1" t="s">
        <v>3028</v>
      </c>
    </row>
    <row r="26" spans="1:2" x14ac:dyDescent="0.2">
      <c r="A26" s="9" t="s">
        <v>140</v>
      </c>
      <c r="B26" s="1" t="s">
        <v>3028</v>
      </c>
    </row>
    <row r="27" spans="1:2" x14ac:dyDescent="0.2">
      <c r="A27" s="9" t="s">
        <v>144</v>
      </c>
      <c r="B27" s="1" t="s">
        <v>3028</v>
      </c>
    </row>
    <row r="28" spans="1:2" x14ac:dyDescent="0.2">
      <c r="A28" s="9" t="s">
        <v>148</v>
      </c>
      <c r="B28" s="1" t="s">
        <v>3028</v>
      </c>
    </row>
    <row r="29" spans="1:2" x14ac:dyDescent="0.2">
      <c r="A29" s="9" t="s">
        <v>152</v>
      </c>
      <c r="B29" s="1" t="s">
        <v>3028</v>
      </c>
    </row>
    <row r="30" spans="1:2" x14ac:dyDescent="0.2">
      <c r="A30" s="9" t="s">
        <v>156</v>
      </c>
      <c r="B30" s="1" t="s">
        <v>3028</v>
      </c>
    </row>
    <row r="31" spans="1:2" x14ac:dyDescent="0.2">
      <c r="A31" s="9" t="s">
        <v>160</v>
      </c>
      <c r="B31" s="1" t="s">
        <v>3028</v>
      </c>
    </row>
    <row r="32" spans="1:2" x14ac:dyDescent="0.2">
      <c r="A32" s="9" t="s">
        <v>164</v>
      </c>
      <c r="B32" s="1" t="s">
        <v>3028</v>
      </c>
    </row>
    <row r="33" spans="1:2" x14ac:dyDescent="0.2">
      <c r="A33" s="9" t="s">
        <v>168</v>
      </c>
      <c r="B33" s="1" t="s">
        <v>3028</v>
      </c>
    </row>
    <row r="34" spans="1:2" x14ac:dyDescent="0.2">
      <c r="A34" s="9" t="s">
        <v>172</v>
      </c>
      <c r="B34" s="1" t="s">
        <v>3028</v>
      </c>
    </row>
    <row r="35" spans="1:2" x14ac:dyDescent="0.2">
      <c r="A35" s="9" t="s">
        <v>176</v>
      </c>
      <c r="B35" s="1" t="s">
        <v>3028</v>
      </c>
    </row>
    <row r="36" spans="1:2" x14ac:dyDescent="0.2">
      <c r="A36" s="9" t="s">
        <v>180</v>
      </c>
      <c r="B36" s="1" t="s">
        <v>3028</v>
      </c>
    </row>
    <row r="37" spans="1:2" x14ac:dyDescent="0.2">
      <c r="A37" s="9" t="s">
        <v>184</v>
      </c>
      <c r="B37" s="1" t="s">
        <v>3028</v>
      </c>
    </row>
    <row r="38" spans="1:2" x14ac:dyDescent="0.2">
      <c r="A38" s="9" t="s">
        <v>188</v>
      </c>
      <c r="B38" s="1" t="s">
        <v>3028</v>
      </c>
    </row>
    <row r="39" spans="1:2" x14ac:dyDescent="0.2">
      <c r="A39" s="9" t="s">
        <v>192</v>
      </c>
      <c r="B39" s="1" t="s">
        <v>3028</v>
      </c>
    </row>
    <row r="40" spans="1:2" x14ac:dyDescent="0.2">
      <c r="A40" s="9" t="s">
        <v>196</v>
      </c>
      <c r="B40" s="1" t="s">
        <v>3028</v>
      </c>
    </row>
    <row r="41" spans="1:2" x14ac:dyDescent="0.2">
      <c r="A41" s="9" t="s">
        <v>200</v>
      </c>
      <c r="B41" s="1" t="s">
        <v>3028</v>
      </c>
    </row>
    <row r="42" spans="1:2" x14ac:dyDescent="0.2">
      <c r="A42" s="9" t="s">
        <v>204</v>
      </c>
      <c r="B42" s="1" t="s">
        <v>3028</v>
      </c>
    </row>
    <row r="43" spans="1:2" x14ac:dyDescent="0.2">
      <c r="A43" s="9" t="s">
        <v>208</v>
      </c>
      <c r="B43" s="1" t="s">
        <v>3028</v>
      </c>
    </row>
    <row r="44" spans="1:2" x14ac:dyDescent="0.2">
      <c r="A44" s="9" t="s">
        <v>212</v>
      </c>
      <c r="B44" s="1" t="s">
        <v>3028</v>
      </c>
    </row>
    <row r="45" spans="1:2" x14ac:dyDescent="0.2">
      <c r="A45" s="9" t="s">
        <v>216</v>
      </c>
      <c r="B45" s="1" t="s">
        <v>3028</v>
      </c>
    </row>
    <row r="46" spans="1:2" x14ac:dyDescent="0.2">
      <c r="A46" s="9" t="s">
        <v>220</v>
      </c>
      <c r="B46" s="1" t="s">
        <v>3028</v>
      </c>
    </row>
    <row r="47" spans="1:2" x14ac:dyDescent="0.2">
      <c r="A47" s="9" t="s">
        <v>224</v>
      </c>
      <c r="B47" s="1" t="s">
        <v>3028</v>
      </c>
    </row>
    <row r="48" spans="1:2" x14ac:dyDescent="0.2">
      <c r="A48" s="9" t="s">
        <v>228</v>
      </c>
      <c r="B48" s="1" t="s">
        <v>3028</v>
      </c>
    </row>
    <row r="49" spans="1:2" x14ac:dyDescent="0.2">
      <c r="A49" s="9" t="s">
        <v>232</v>
      </c>
      <c r="B49" s="1" t="s">
        <v>3028</v>
      </c>
    </row>
    <row r="50" spans="1:2" x14ac:dyDescent="0.2">
      <c r="A50" s="9" t="s">
        <v>236</v>
      </c>
      <c r="B50" s="1" t="s">
        <v>3028</v>
      </c>
    </row>
    <row r="51" spans="1:2" x14ac:dyDescent="0.2">
      <c r="A51" s="9" t="s">
        <v>240</v>
      </c>
      <c r="B51" s="1" t="s">
        <v>3028</v>
      </c>
    </row>
    <row r="52" spans="1:2" x14ac:dyDescent="0.2">
      <c r="A52" s="9" t="s">
        <v>244</v>
      </c>
      <c r="B52" s="1" t="s">
        <v>3028</v>
      </c>
    </row>
    <row r="53" spans="1:2" x14ac:dyDescent="0.2">
      <c r="A53" s="9" t="s">
        <v>248</v>
      </c>
      <c r="B53" s="1" t="s">
        <v>3028</v>
      </c>
    </row>
    <row r="54" spans="1:2" x14ac:dyDescent="0.2">
      <c r="A54" s="9" t="s">
        <v>252</v>
      </c>
      <c r="B54" s="1" t="s">
        <v>3028</v>
      </c>
    </row>
    <row r="55" spans="1:2" x14ac:dyDescent="0.2">
      <c r="A55" s="9" t="s">
        <v>256</v>
      </c>
      <c r="B55" s="1" t="s">
        <v>3028</v>
      </c>
    </row>
    <row r="56" spans="1:2" x14ac:dyDescent="0.2">
      <c r="A56" s="9" t="s">
        <v>260</v>
      </c>
      <c r="B56" s="1" t="s">
        <v>3028</v>
      </c>
    </row>
    <row r="57" spans="1:2" x14ac:dyDescent="0.2">
      <c r="A57" s="9" t="s">
        <v>264</v>
      </c>
      <c r="B57" s="1" t="s">
        <v>3028</v>
      </c>
    </row>
    <row r="58" spans="1:2" x14ac:dyDescent="0.2">
      <c r="A58" s="9" t="s">
        <v>268</v>
      </c>
      <c r="B58" s="1" t="s">
        <v>3028</v>
      </c>
    </row>
    <row r="59" spans="1:2" x14ac:dyDescent="0.2">
      <c r="A59" s="9" t="s">
        <v>272</v>
      </c>
      <c r="B59" s="1" t="s">
        <v>3028</v>
      </c>
    </row>
    <row r="60" spans="1:2" x14ac:dyDescent="0.2">
      <c r="A60" s="9" t="s">
        <v>276</v>
      </c>
      <c r="B60" s="1" t="s">
        <v>3028</v>
      </c>
    </row>
    <row r="61" spans="1:2" x14ac:dyDescent="0.2">
      <c r="A61" s="9" t="s">
        <v>280</v>
      </c>
      <c r="B61" s="1" t="s">
        <v>3028</v>
      </c>
    </row>
    <row r="62" spans="1:2" x14ac:dyDescent="0.2">
      <c r="A62" s="9" t="s">
        <v>284</v>
      </c>
      <c r="B62" s="1" t="s">
        <v>3028</v>
      </c>
    </row>
    <row r="63" spans="1:2" x14ac:dyDescent="0.2">
      <c r="A63" s="9" t="s">
        <v>288</v>
      </c>
      <c r="B63" s="1" t="s">
        <v>3028</v>
      </c>
    </row>
    <row r="64" spans="1:2" x14ac:dyDescent="0.2">
      <c r="A64" s="9" t="s">
        <v>292</v>
      </c>
      <c r="B64" s="1" t="s">
        <v>3028</v>
      </c>
    </row>
    <row r="65" spans="1:2" x14ac:dyDescent="0.2">
      <c r="A65" s="9" t="s">
        <v>296</v>
      </c>
      <c r="B65" s="1" t="s">
        <v>3028</v>
      </c>
    </row>
    <row r="66" spans="1:2" x14ac:dyDescent="0.2">
      <c r="A66" s="9" t="s">
        <v>300</v>
      </c>
      <c r="B66" s="1" t="s">
        <v>3028</v>
      </c>
    </row>
    <row r="67" spans="1:2" x14ac:dyDescent="0.2">
      <c r="A67" s="9" t="s">
        <v>304</v>
      </c>
      <c r="B67" s="1" t="s">
        <v>3028</v>
      </c>
    </row>
    <row r="68" spans="1:2" x14ac:dyDescent="0.2">
      <c r="A68" s="9" t="s">
        <v>308</v>
      </c>
      <c r="B68" s="1" t="s">
        <v>3028</v>
      </c>
    </row>
    <row r="69" spans="1:2" x14ac:dyDescent="0.2">
      <c r="A69" s="9" t="s">
        <v>312</v>
      </c>
      <c r="B69" s="1" t="s">
        <v>3028</v>
      </c>
    </row>
    <row r="70" spans="1:2" x14ac:dyDescent="0.2">
      <c r="A70" s="9" t="s">
        <v>316</v>
      </c>
      <c r="B70" s="1" t="s">
        <v>3028</v>
      </c>
    </row>
    <row r="71" spans="1:2" x14ac:dyDescent="0.2">
      <c r="A71" s="9" t="s">
        <v>320</v>
      </c>
      <c r="B71" s="1" t="s">
        <v>3028</v>
      </c>
    </row>
    <row r="72" spans="1:2" x14ac:dyDescent="0.2">
      <c r="A72" s="9" t="s">
        <v>324</v>
      </c>
      <c r="B72" s="1" t="s">
        <v>3028</v>
      </c>
    </row>
    <row r="73" spans="1:2" x14ac:dyDescent="0.2">
      <c r="A73" s="9" t="s">
        <v>328</v>
      </c>
      <c r="B73" s="1" t="s">
        <v>3028</v>
      </c>
    </row>
    <row r="74" spans="1:2" x14ac:dyDescent="0.2">
      <c r="A74" s="9" t="s">
        <v>332</v>
      </c>
      <c r="B74" s="1" t="s">
        <v>3028</v>
      </c>
    </row>
    <row r="75" spans="1:2" x14ac:dyDescent="0.2">
      <c r="A75" s="9" t="s">
        <v>336</v>
      </c>
      <c r="B75" s="1" t="s">
        <v>3028</v>
      </c>
    </row>
    <row r="76" spans="1:2" x14ac:dyDescent="0.2">
      <c r="A76" s="9" t="s">
        <v>340</v>
      </c>
      <c r="B76" s="1" t="s">
        <v>3028</v>
      </c>
    </row>
    <row r="77" spans="1:2" x14ac:dyDescent="0.2">
      <c r="A77" s="9" t="s">
        <v>344</v>
      </c>
      <c r="B77" s="1" t="s">
        <v>3028</v>
      </c>
    </row>
    <row r="78" spans="1:2" x14ac:dyDescent="0.2">
      <c r="A78" s="9" t="s">
        <v>348</v>
      </c>
      <c r="B78" s="1" t="s">
        <v>3028</v>
      </c>
    </row>
    <row r="79" spans="1:2" x14ac:dyDescent="0.2">
      <c r="A79" s="9" t="s">
        <v>352</v>
      </c>
      <c r="B79" s="1" t="s">
        <v>3028</v>
      </c>
    </row>
    <row r="80" spans="1:2" x14ac:dyDescent="0.2">
      <c r="A80" s="9" t="s">
        <v>356</v>
      </c>
      <c r="B80" s="1" t="s">
        <v>3028</v>
      </c>
    </row>
    <row r="81" spans="1:2" x14ac:dyDescent="0.2">
      <c r="A81" s="9" t="s">
        <v>360</v>
      </c>
      <c r="B81" s="1" t="s">
        <v>3028</v>
      </c>
    </row>
    <row r="82" spans="1:2" x14ac:dyDescent="0.2">
      <c r="A82" s="9" t="s">
        <v>364</v>
      </c>
      <c r="B82" s="1" t="s">
        <v>3028</v>
      </c>
    </row>
    <row r="83" spans="1:2" x14ac:dyDescent="0.2">
      <c r="A83" s="9" t="s">
        <v>368</v>
      </c>
      <c r="B83" s="1" t="s">
        <v>3028</v>
      </c>
    </row>
    <row r="84" spans="1:2" x14ac:dyDescent="0.2">
      <c r="A84" s="9" t="s">
        <v>372</v>
      </c>
      <c r="B84" s="1" t="s">
        <v>3028</v>
      </c>
    </row>
    <row r="85" spans="1:2" x14ac:dyDescent="0.2">
      <c r="A85" s="9" t="s">
        <v>376</v>
      </c>
      <c r="B85" s="1" t="s">
        <v>3028</v>
      </c>
    </row>
    <row r="86" spans="1:2" x14ac:dyDescent="0.2">
      <c r="A86" s="9" t="s">
        <v>380</v>
      </c>
      <c r="B86" s="1" t="s">
        <v>3028</v>
      </c>
    </row>
    <row r="87" spans="1:2" x14ac:dyDescent="0.2">
      <c r="A87" s="9" t="s">
        <v>384</v>
      </c>
      <c r="B87" s="1" t="s">
        <v>3028</v>
      </c>
    </row>
    <row r="88" spans="1:2" x14ac:dyDescent="0.2">
      <c r="A88" s="9" t="s">
        <v>388</v>
      </c>
      <c r="B88" s="1" t="s">
        <v>3028</v>
      </c>
    </row>
    <row r="89" spans="1:2" x14ac:dyDescent="0.2">
      <c r="A89" s="9" t="s">
        <v>504</v>
      </c>
      <c r="B89" s="1" t="s">
        <v>3029</v>
      </c>
    </row>
    <row r="90" spans="1:2" x14ac:dyDescent="0.2">
      <c r="A90" s="9" t="s">
        <v>508</v>
      </c>
      <c r="B90" s="1" t="s">
        <v>3029</v>
      </c>
    </row>
    <row r="91" spans="1:2" x14ac:dyDescent="0.2">
      <c r="A91" s="9" t="s">
        <v>511</v>
      </c>
      <c r="B91" s="1" t="s">
        <v>3029</v>
      </c>
    </row>
    <row r="92" spans="1:2" x14ac:dyDescent="0.2">
      <c r="A92" s="9" t="s">
        <v>514</v>
      </c>
      <c r="B92" s="1" t="s">
        <v>3029</v>
      </c>
    </row>
    <row r="93" spans="1:2" x14ac:dyDescent="0.2">
      <c r="A93" s="9" t="s">
        <v>517</v>
      </c>
      <c r="B93" s="1" t="s">
        <v>3029</v>
      </c>
    </row>
    <row r="94" spans="1:2" x14ac:dyDescent="0.2">
      <c r="A94" s="9" t="s">
        <v>520</v>
      </c>
      <c r="B94" s="1" t="s">
        <v>3029</v>
      </c>
    </row>
    <row r="95" spans="1:2" x14ac:dyDescent="0.2">
      <c r="A95" s="9" t="s">
        <v>523</v>
      </c>
      <c r="B95" s="1" t="s">
        <v>3029</v>
      </c>
    </row>
    <row r="96" spans="1:2" x14ac:dyDescent="0.2">
      <c r="A96" s="9" t="s">
        <v>526</v>
      </c>
      <c r="B96" s="1" t="s">
        <v>3029</v>
      </c>
    </row>
    <row r="97" spans="1:2" x14ac:dyDescent="0.2">
      <c r="A97" s="9" t="s">
        <v>530</v>
      </c>
      <c r="B97" s="1" t="s">
        <v>3029</v>
      </c>
    </row>
    <row r="98" spans="1:2" x14ac:dyDescent="0.2">
      <c r="A98" s="9" t="s">
        <v>533</v>
      </c>
      <c r="B98" s="1" t="s">
        <v>3029</v>
      </c>
    </row>
    <row r="99" spans="1:2" x14ac:dyDescent="0.2">
      <c r="A99" s="9" t="s">
        <v>536</v>
      </c>
      <c r="B99" s="1" t="s">
        <v>3029</v>
      </c>
    </row>
    <row r="100" spans="1:2" x14ac:dyDescent="0.2">
      <c r="A100" s="9" t="s">
        <v>539</v>
      </c>
      <c r="B100" s="1" t="s">
        <v>3029</v>
      </c>
    </row>
    <row r="101" spans="1:2" x14ac:dyDescent="0.2">
      <c r="A101" s="9" t="s">
        <v>542</v>
      </c>
      <c r="B101" s="1" t="s">
        <v>3029</v>
      </c>
    </row>
    <row r="102" spans="1:2" x14ac:dyDescent="0.2">
      <c r="A102" s="9" t="s">
        <v>545</v>
      </c>
      <c r="B102" s="1" t="s">
        <v>3029</v>
      </c>
    </row>
    <row r="103" spans="1:2" x14ac:dyDescent="0.2">
      <c r="A103" s="9" t="s">
        <v>548</v>
      </c>
      <c r="B103" s="1" t="s">
        <v>3029</v>
      </c>
    </row>
    <row r="104" spans="1:2" x14ac:dyDescent="0.2">
      <c r="A104" s="9" t="s">
        <v>551</v>
      </c>
      <c r="B104" s="1" t="s">
        <v>751</v>
      </c>
    </row>
    <row r="105" spans="1:2" x14ac:dyDescent="0.2">
      <c r="A105" s="9" t="s">
        <v>555</v>
      </c>
      <c r="B105" s="1" t="s">
        <v>751</v>
      </c>
    </row>
    <row r="106" spans="1:2" x14ac:dyDescent="0.2">
      <c r="A106" s="9" t="s">
        <v>558</v>
      </c>
      <c r="B106" s="1" t="s">
        <v>751</v>
      </c>
    </row>
    <row r="107" spans="1:2" x14ac:dyDescent="0.2">
      <c r="A107" s="9" t="s">
        <v>561</v>
      </c>
      <c r="B107" s="1" t="s">
        <v>751</v>
      </c>
    </row>
    <row r="108" spans="1:2" x14ac:dyDescent="0.2">
      <c r="A108" s="9" t="s">
        <v>564</v>
      </c>
      <c r="B108" s="1" t="s">
        <v>751</v>
      </c>
    </row>
    <row r="109" spans="1:2" x14ac:dyDescent="0.2">
      <c r="A109" s="9" t="s">
        <v>567</v>
      </c>
      <c r="B109" s="1" t="s">
        <v>751</v>
      </c>
    </row>
    <row r="110" spans="1:2" x14ac:dyDescent="0.2">
      <c r="A110" s="9" t="s">
        <v>570</v>
      </c>
      <c r="B110" s="1" t="s">
        <v>751</v>
      </c>
    </row>
    <row r="111" spans="1:2" x14ac:dyDescent="0.2">
      <c r="A111" s="9" t="s">
        <v>573</v>
      </c>
      <c r="B111" s="1" t="s">
        <v>751</v>
      </c>
    </row>
    <row r="112" spans="1:2" x14ac:dyDescent="0.2">
      <c r="A112" s="9" t="s">
        <v>576</v>
      </c>
      <c r="B112" s="1" t="s">
        <v>751</v>
      </c>
    </row>
    <row r="113" spans="1:2" x14ac:dyDescent="0.2">
      <c r="A113" s="9" t="s">
        <v>579</v>
      </c>
      <c r="B113" s="1" t="s">
        <v>751</v>
      </c>
    </row>
    <row r="114" spans="1:2" x14ac:dyDescent="0.2">
      <c r="A114" s="9" t="s">
        <v>582</v>
      </c>
      <c r="B114" s="1" t="s">
        <v>751</v>
      </c>
    </row>
    <row r="115" spans="1:2" x14ac:dyDescent="0.2">
      <c r="A115" s="9" t="s">
        <v>585</v>
      </c>
      <c r="B115" s="1" t="s">
        <v>751</v>
      </c>
    </row>
    <row r="116" spans="1:2" x14ac:dyDescent="0.2">
      <c r="A116" s="9" t="s">
        <v>588</v>
      </c>
      <c r="B116" s="1" t="s">
        <v>751</v>
      </c>
    </row>
    <row r="117" spans="1:2" x14ac:dyDescent="0.2">
      <c r="A117" s="9" t="s">
        <v>591</v>
      </c>
      <c r="B117" s="1" t="s">
        <v>751</v>
      </c>
    </row>
    <row r="118" spans="1:2" x14ac:dyDescent="0.2">
      <c r="A118" s="9" t="s">
        <v>594</v>
      </c>
      <c r="B118" s="1" t="s">
        <v>751</v>
      </c>
    </row>
    <row r="119" spans="1:2" x14ac:dyDescent="0.2">
      <c r="A119" s="9" t="s">
        <v>597</v>
      </c>
      <c r="B119" s="1" t="s">
        <v>751</v>
      </c>
    </row>
    <row r="120" spans="1:2" x14ac:dyDescent="0.2">
      <c r="A120" s="9" t="s">
        <v>600</v>
      </c>
      <c r="B120" s="1" t="s">
        <v>751</v>
      </c>
    </row>
    <row r="121" spans="1:2" x14ac:dyDescent="0.2">
      <c r="A121" s="9" t="s">
        <v>604</v>
      </c>
      <c r="B121" s="1" t="s">
        <v>751</v>
      </c>
    </row>
    <row r="122" spans="1:2" x14ac:dyDescent="0.2">
      <c r="A122" s="9" t="s">
        <v>607</v>
      </c>
      <c r="B122" s="1" t="s">
        <v>751</v>
      </c>
    </row>
    <row r="123" spans="1:2" x14ac:dyDescent="0.2">
      <c r="A123" s="9" t="s">
        <v>610</v>
      </c>
      <c r="B123" s="1" t="s">
        <v>751</v>
      </c>
    </row>
    <row r="124" spans="1:2" x14ac:dyDescent="0.2">
      <c r="A124" s="9" t="s">
        <v>613</v>
      </c>
      <c r="B124" s="1" t="s">
        <v>751</v>
      </c>
    </row>
    <row r="125" spans="1:2" x14ac:dyDescent="0.2">
      <c r="A125" s="9" t="s">
        <v>616</v>
      </c>
      <c r="B125" s="1" t="s">
        <v>751</v>
      </c>
    </row>
    <row r="126" spans="1:2" x14ac:dyDescent="0.2">
      <c r="A126" s="9" t="s">
        <v>2886</v>
      </c>
      <c r="B126" s="1" t="s">
        <v>3030</v>
      </c>
    </row>
    <row r="127" spans="1:2" x14ac:dyDescent="0.2">
      <c r="A127" s="9" t="s">
        <v>2889</v>
      </c>
      <c r="B127" s="1" t="s">
        <v>3030</v>
      </c>
    </row>
    <row r="128" spans="1:2" x14ac:dyDescent="0.2">
      <c r="A128" s="9" t="s">
        <v>2891</v>
      </c>
      <c r="B128" s="1" t="s">
        <v>3030</v>
      </c>
    </row>
    <row r="129" spans="1:2" x14ac:dyDescent="0.2">
      <c r="A129" s="9" t="s">
        <v>2893</v>
      </c>
      <c r="B129" s="1" t="s">
        <v>3030</v>
      </c>
    </row>
    <row r="130" spans="1:2" x14ac:dyDescent="0.2">
      <c r="A130" s="9" t="s">
        <v>2895</v>
      </c>
      <c r="B130" s="1" t="s">
        <v>3030</v>
      </c>
    </row>
    <row r="131" spans="1:2" x14ac:dyDescent="0.2">
      <c r="A131" s="9" t="s">
        <v>2897</v>
      </c>
      <c r="B131" s="1" t="s">
        <v>3030</v>
      </c>
    </row>
    <row r="132" spans="1:2" x14ac:dyDescent="0.2">
      <c r="A132" s="9" t="s">
        <v>2903</v>
      </c>
      <c r="B132" s="1" t="s">
        <v>3030</v>
      </c>
    </row>
    <row r="133" spans="1:2" x14ac:dyDescent="0.2">
      <c r="A133" s="9" t="s">
        <v>2905</v>
      </c>
      <c r="B133" s="1" t="s">
        <v>3030</v>
      </c>
    </row>
    <row r="134" spans="1:2" x14ac:dyDescent="0.2">
      <c r="A134" s="9" t="s">
        <v>2907</v>
      </c>
      <c r="B134" s="1" t="s">
        <v>3030</v>
      </c>
    </row>
    <row r="135" spans="1:2" x14ac:dyDescent="0.2">
      <c r="A135" s="9" t="s">
        <v>2909</v>
      </c>
      <c r="B135" s="1" t="s">
        <v>3030</v>
      </c>
    </row>
    <row r="136" spans="1:2" x14ac:dyDescent="0.2">
      <c r="A136" s="9" t="s">
        <v>2911</v>
      </c>
      <c r="B136" s="1" t="s">
        <v>3030</v>
      </c>
    </row>
    <row r="137" spans="1:2" x14ac:dyDescent="0.2">
      <c r="A137" s="9" t="s">
        <v>2913</v>
      </c>
      <c r="B137" s="1" t="s">
        <v>3030</v>
      </c>
    </row>
    <row r="138" spans="1:2" x14ac:dyDescent="0.2">
      <c r="A138" s="9" t="s">
        <v>2915</v>
      </c>
      <c r="B138" s="1" t="s">
        <v>3030</v>
      </c>
    </row>
    <row r="139" spans="1:2" x14ac:dyDescent="0.2">
      <c r="A139" s="9" t="s">
        <v>2917</v>
      </c>
      <c r="B139" s="1" t="s">
        <v>3030</v>
      </c>
    </row>
    <row r="140" spans="1:2" x14ac:dyDescent="0.2">
      <c r="A140" s="9" t="s">
        <v>2919</v>
      </c>
      <c r="B140" s="1" t="s">
        <v>3030</v>
      </c>
    </row>
    <row r="141" spans="1:2" x14ac:dyDescent="0.2">
      <c r="A141" s="9" t="s">
        <v>2921</v>
      </c>
      <c r="B141" s="1" t="s">
        <v>3030</v>
      </c>
    </row>
    <row r="142" spans="1:2" x14ac:dyDescent="0.2">
      <c r="A142" s="9" t="s">
        <v>2923</v>
      </c>
      <c r="B142" s="1" t="s">
        <v>3030</v>
      </c>
    </row>
    <row r="143" spans="1:2" x14ac:dyDescent="0.2">
      <c r="A143" s="9" t="s">
        <v>2925</v>
      </c>
      <c r="B143" s="1" t="s">
        <v>3030</v>
      </c>
    </row>
    <row r="144" spans="1:2" ht="15" x14ac:dyDescent="0.25">
      <c r="A144" s="4" t="s">
        <v>619</v>
      </c>
      <c r="B144" s="1" t="s">
        <v>651</v>
      </c>
    </row>
    <row r="145" spans="1:2" ht="15" x14ac:dyDescent="0.25">
      <c r="A145" s="4" t="s">
        <v>624</v>
      </c>
      <c r="B145" s="1" t="s">
        <v>651</v>
      </c>
    </row>
    <row r="146" spans="1:2" x14ac:dyDescent="0.2">
      <c r="A146" s="1" t="s">
        <v>629</v>
      </c>
      <c r="B146" s="1" t="s">
        <v>651</v>
      </c>
    </row>
    <row r="147" spans="1:2" x14ac:dyDescent="0.2">
      <c r="A147" s="1" t="s">
        <v>633</v>
      </c>
      <c r="B147" s="1" t="s">
        <v>651</v>
      </c>
    </row>
    <row r="148" spans="1:2" x14ac:dyDescent="0.2">
      <c r="A148" s="1" t="s">
        <v>637</v>
      </c>
      <c r="B148" s="1" t="s">
        <v>651</v>
      </c>
    </row>
    <row r="149" spans="1:2" x14ac:dyDescent="0.2">
      <c r="A149" s="1" t="s">
        <v>641</v>
      </c>
      <c r="B149" s="1" t="s">
        <v>651</v>
      </c>
    </row>
    <row r="150" spans="1:2" x14ac:dyDescent="0.2">
      <c r="A150" s="1" t="s">
        <v>644</v>
      </c>
      <c r="B150" s="1" t="s">
        <v>651</v>
      </c>
    </row>
    <row r="151" spans="1:2" x14ac:dyDescent="0.2">
      <c r="A151" s="1" t="s">
        <v>648</v>
      </c>
      <c r="B151" s="1" t="s">
        <v>651</v>
      </c>
    </row>
    <row r="152" spans="1:2" x14ac:dyDescent="0.2">
      <c r="A152" s="1" t="s">
        <v>652</v>
      </c>
      <c r="B152" s="1" t="s">
        <v>651</v>
      </c>
    </row>
    <row r="153" spans="1:2" x14ac:dyDescent="0.2">
      <c r="A153" s="1" t="s">
        <v>656</v>
      </c>
      <c r="B153" s="1" t="s">
        <v>651</v>
      </c>
    </row>
    <row r="154" spans="1:2" ht="15" x14ac:dyDescent="0.25">
      <c r="A154" s="4" t="s">
        <v>660</v>
      </c>
      <c r="B154" s="1" t="s">
        <v>651</v>
      </c>
    </row>
    <row r="155" spans="1:2" x14ac:dyDescent="0.2">
      <c r="A155" s="1" t="s">
        <v>664</v>
      </c>
      <c r="B155" s="1" t="s">
        <v>651</v>
      </c>
    </row>
    <row r="156" spans="1:2" x14ac:dyDescent="0.2">
      <c r="A156" s="1" t="s">
        <v>668</v>
      </c>
      <c r="B156" s="1" t="s">
        <v>651</v>
      </c>
    </row>
    <row r="157" spans="1:2" x14ac:dyDescent="0.2">
      <c r="A157" s="1" t="s">
        <v>672</v>
      </c>
      <c r="B157" s="1" t="s">
        <v>651</v>
      </c>
    </row>
    <row r="158" spans="1:2" ht="15" x14ac:dyDescent="0.25">
      <c r="A158" s="4" t="s">
        <v>676</v>
      </c>
      <c r="B158" s="1" t="s">
        <v>651</v>
      </c>
    </row>
    <row r="159" spans="1:2" x14ac:dyDescent="0.2">
      <c r="A159" s="1" t="s">
        <v>680</v>
      </c>
      <c r="B159" s="1" t="s">
        <v>651</v>
      </c>
    </row>
    <row r="160" spans="1:2" x14ac:dyDescent="0.2">
      <c r="A160" s="1" t="s">
        <v>684</v>
      </c>
      <c r="B160" s="1" t="s">
        <v>651</v>
      </c>
    </row>
    <row r="161" spans="1:2" x14ac:dyDescent="0.2">
      <c r="A161" s="1" t="s">
        <v>688</v>
      </c>
      <c r="B161" s="1" t="s">
        <v>651</v>
      </c>
    </row>
    <row r="162" spans="1:2" x14ac:dyDescent="0.2">
      <c r="A162" s="1" t="s">
        <v>692</v>
      </c>
      <c r="B162" s="1" t="s">
        <v>651</v>
      </c>
    </row>
    <row r="163" spans="1:2" ht="15" x14ac:dyDescent="0.25">
      <c r="A163" s="4" t="s">
        <v>696</v>
      </c>
      <c r="B163" s="1" t="s">
        <v>651</v>
      </c>
    </row>
    <row r="164" spans="1:2" ht="15" x14ac:dyDescent="0.25">
      <c r="A164" s="4" t="s">
        <v>700</v>
      </c>
      <c r="B164" s="1" t="s">
        <v>651</v>
      </c>
    </row>
    <row r="165" spans="1:2" ht="15" x14ac:dyDescent="0.25">
      <c r="A165" s="4" t="s">
        <v>704</v>
      </c>
      <c r="B165" s="1" t="s">
        <v>651</v>
      </c>
    </row>
    <row r="166" spans="1:2" ht="15" x14ac:dyDescent="0.25">
      <c r="A166" s="4" t="s">
        <v>708</v>
      </c>
      <c r="B166" s="1" t="s">
        <v>651</v>
      </c>
    </row>
    <row r="167" spans="1:2" ht="15" x14ac:dyDescent="0.25">
      <c r="A167" s="4" t="s">
        <v>712</v>
      </c>
      <c r="B167" s="1" t="s">
        <v>651</v>
      </c>
    </row>
    <row r="168" spans="1:2" x14ac:dyDescent="0.2">
      <c r="A168" s="1" t="s">
        <v>716</v>
      </c>
      <c r="B168" s="1" t="s">
        <v>651</v>
      </c>
    </row>
    <row r="169" spans="1:2" x14ac:dyDescent="0.2">
      <c r="A169" s="1" t="s">
        <v>720</v>
      </c>
      <c r="B169" s="1" t="s">
        <v>651</v>
      </c>
    </row>
    <row r="170" spans="1:2" ht="15" x14ac:dyDescent="0.25">
      <c r="A170" s="16" t="s">
        <v>724</v>
      </c>
      <c r="B170" s="1" t="s">
        <v>651</v>
      </c>
    </row>
    <row r="171" spans="1:2" ht="15" x14ac:dyDescent="0.25">
      <c r="A171" s="16" t="s">
        <v>728</v>
      </c>
      <c r="B171" s="1" t="s">
        <v>651</v>
      </c>
    </row>
    <row r="172" spans="1:2" ht="15" x14ac:dyDescent="0.25">
      <c r="A172" s="16" t="s">
        <v>732</v>
      </c>
      <c r="B172" s="1" t="s">
        <v>651</v>
      </c>
    </row>
    <row r="173" spans="1:2" ht="15" x14ac:dyDescent="0.25">
      <c r="A173" s="16" t="s">
        <v>736</v>
      </c>
      <c r="B173" s="1" t="s">
        <v>651</v>
      </c>
    </row>
    <row r="174" spans="1:2" ht="15" x14ac:dyDescent="0.25">
      <c r="A174" s="16" t="s">
        <v>740</v>
      </c>
      <c r="B174" s="1" t="s">
        <v>651</v>
      </c>
    </row>
    <row r="175" spans="1:2" ht="15" x14ac:dyDescent="0.25">
      <c r="A175" s="16" t="s">
        <v>744</v>
      </c>
      <c r="B175" s="1" t="s">
        <v>651</v>
      </c>
    </row>
    <row r="176" spans="1:2" ht="15" x14ac:dyDescent="0.25">
      <c r="A176" s="16" t="s">
        <v>748</v>
      </c>
      <c r="B176" s="1" t="s">
        <v>651</v>
      </c>
    </row>
    <row r="177" spans="1:2" ht="15" x14ac:dyDescent="0.25">
      <c r="A177" s="16" t="s">
        <v>752</v>
      </c>
      <c r="B177" s="1" t="s">
        <v>651</v>
      </c>
    </row>
    <row r="178" spans="1:2" ht="15" x14ac:dyDescent="0.25">
      <c r="A178" s="16" t="s">
        <v>756</v>
      </c>
      <c r="B178" s="1" t="s">
        <v>651</v>
      </c>
    </row>
    <row r="179" spans="1:2" ht="15" x14ac:dyDescent="0.25">
      <c r="A179" s="16" t="s">
        <v>760</v>
      </c>
      <c r="B179" s="1" t="s">
        <v>651</v>
      </c>
    </row>
    <row r="180" spans="1:2" ht="15" x14ac:dyDescent="0.25">
      <c r="A180" s="16" t="s">
        <v>764</v>
      </c>
      <c r="B180" s="1" t="s">
        <v>651</v>
      </c>
    </row>
    <row r="181" spans="1:2" ht="15" x14ac:dyDescent="0.25">
      <c r="A181" s="16" t="s">
        <v>768</v>
      </c>
      <c r="B181" s="1" t="s">
        <v>651</v>
      </c>
    </row>
    <row r="182" spans="1:2" ht="15" x14ac:dyDescent="0.25">
      <c r="A182" s="16" t="s">
        <v>772</v>
      </c>
      <c r="B182" s="1" t="s">
        <v>651</v>
      </c>
    </row>
    <row r="183" spans="1:2" ht="15" x14ac:dyDescent="0.25">
      <c r="A183" s="16" t="s">
        <v>776</v>
      </c>
      <c r="B183" s="1" t="s">
        <v>651</v>
      </c>
    </row>
    <row r="184" spans="1:2" ht="15" x14ac:dyDescent="0.25">
      <c r="A184" s="16" t="s">
        <v>780</v>
      </c>
      <c r="B184" s="1" t="s">
        <v>651</v>
      </c>
    </row>
    <row r="185" spans="1:2" ht="15" x14ac:dyDescent="0.25">
      <c r="A185" s="16" t="s">
        <v>784</v>
      </c>
      <c r="B185" s="1" t="s">
        <v>651</v>
      </c>
    </row>
    <row r="186" spans="1:2" ht="15" x14ac:dyDescent="0.25">
      <c r="A186" s="16" t="s">
        <v>788</v>
      </c>
      <c r="B186" s="1" t="s">
        <v>651</v>
      </c>
    </row>
    <row r="187" spans="1:2" ht="15" x14ac:dyDescent="0.25">
      <c r="A187" s="16" t="s">
        <v>792</v>
      </c>
      <c r="B187" s="1" t="s">
        <v>651</v>
      </c>
    </row>
    <row r="188" spans="1:2" ht="15" x14ac:dyDescent="0.25">
      <c r="A188" s="16" t="s">
        <v>796</v>
      </c>
      <c r="B188" s="1" t="s">
        <v>651</v>
      </c>
    </row>
    <row r="189" spans="1:2" ht="15" x14ac:dyDescent="0.25">
      <c r="A189" s="16" t="s">
        <v>800</v>
      </c>
      <c r="B189" s="1" t="s">
        <v>651</v>
      </c>
    </row>
    <row r="190" spans="1:2" ht="15" x14ac:dyDescent="0.25">
      <c r="A190" s="16" t="s">
        <v>804</v>
      </c>
      <c r="B190" s="1" t="s">
        <v>651</v>
      </c>
    </row>
    <row r="191" spans="1:2" ht="15" x14ac:dyDescent="0.25">
      <c r="A191" s="16" t="s">
        <v>808</v>
      </c>
      <c r="B191" s="1" t="s">
        <v>651</v>
      </c>
    </row>
    <row r="192" spans="1:2" ht="15" x14ac:dyDescent="0.25">
      <c r="A192" s="16" t="s">
        <v>812</v>
      </c>
      <c r="B192" s="1" t="s">
        <v>651</v>
      </c>
    </row>
    <row r="193" spans="1:2" ht="15" x14ac:dyDescent="0.25">
      <c r="A193" s="16" t="s">
        <v>816</v>
      </c>
      <c r="B193" s="1" t="s">
        <v>651</v>
      </c>
    </row>
    <row r="194" spans="1:2" ht="15" x14ac:dyDescent="0.25">
      <c r="A194" s="16" t="s">
        <v>820</v>
      </c>
      <c r="B194" s="1" t="s">
        <v>651</v>
      </c>
    </row>
    <row r="195" spans="1:2" ht="15" x14ac:dyDescent="0.25">
      <c r="A195" s="16" t="s">
        <v>824</v>
      </c>
      <c r="B195" s="1" t="s">
        <v>651</v>
      </c>
    </row>
    <row r="196" spans="1:2" ht="15" x14ac:dyDescent="0.25">
      <c r="A196" s="16" t="s">
        <v>828</v>
      </c>
      <c r="B196" s="1" t="s">
        <v>651</v>
      </c>
    </row>
    <row r="197" spans="1:2" x14ac:dyDescent="0.2">
      <c r="A197" s="9" t="s">
        <v>2927</v>
      </c>
      <c r="B197" s="1" t="s">
        <v>3030</v>
      </c>
    </row>
    <row r="198" spans="1:2" x14ac:dyDescent="0.2">
      <c r="A198" s="55" t="s">
        <v>2929</v>
      </c>
      <c r="B198" s="1" t="s">
        <v>3030</v>
      </c>
    </row>
    <row r="199" spans="1:2" x14ac:dyDescent="0.2">
      <c r="A199" s="55" t="s">
        <v>2931</v>
      </c>
      <c r="B199" s="1" t="s">
        <v>3030</v>
      </c>
    </row>
    <row r="200" spans="1:2" x14ac:dyDescent="0.2">
      <c r="A200" s="55" t="s">
        <v>2933</v>
      </c>
      <c r="B200" s="1" t="s">
        <v>3030</v>
      </c>
    </row>
    <row r="201" spans="1:2" x14ac:dyDescent="0.2">
      <c r="A201" s="55" t="s">
        <v>2935</v>
      </c>
      <c r="B201" s="1" t="s">
        <v>3030</v>
      </c>
    </row>
    <row r="202" spans="1:2" x14ac:dyDescent="0.2">
      <c r="A202" s="55" t="s">
        <v>2937</v>
      </c>
      <c r="B202" s="1" t="s">
        <v>3030</v>
      </c>
    </row>
    <row r="203" spans="1:2" x14ac:dyDescent="0.2">
      <c r="A203" s="18" t="s">
        <v>831</v>
      </c>
      <c r="B203" s="1" t="s">
        <v>751</v>
      </c>
    </row>
    <row r="204" spans="1:2" x14ac:dyDescent="0.2">
      <c r="A204" s="12" t="s">
        <v>835</v>
      </c>
      <c r="B204" s="1" t="s">
        <v>751</v>
      </c>
    </row>
    <row r="205" spans="1:2" x14ac:dyDescent="0.2">
      <c r="A205" s="12" t="s">
        <v>839</v>
      </c>
      <c r="B205" s="1" t="s">
        <v>751</v>
      </c>
    </row>
    <row r="206" spans="1:2" x14ac:dyDescent="0.2">
      <c r="A206" s="12" t="s">
        <v>843</v>
      </c>
      <c r="B206" s="1" t="s">
        <v>751</v>
      </c>
    </row>
    <row r="207" spans="1:2" x14ac:dyDescent="0.2">
      <c r="A207" s="12" t="s">
        <v>847</v>
      </c>
      <c r="B207" s="1" t="s">
        <v>751</v>
      </c>
    </row>
    <row r="208" spans="1:2" x14ac:dyDescent="0.2">
      <c r="A208" s="12" t="s">
        <v>851</v>
      </c>
      <c r="B208" s="1" t="s">
        <v>751</v>
      </c>
    </row>
    <row r="209" spans="1:2" x14ac:dyDescent="0.2">
      <c r="A209" s="12" t="s">
        <v>855</v>
      </c>
      <c r="B209" s="1" t="s">
        <v>751</v>
      </c>
    </row>
    <row r="210" spans="1:2" x14ac:dyDescent="0.2">
      <c r="A210" s="12" t="s">
        <v>859</v>
      </c>
      <c r="B210" s="1" t="s">
        <v>751</v>
      </c>
    </row>
    <row r="211" spans="1:2" x14ac:dyDescent="0.2">
      <c r="A211" s="12" t="s">
        <v>863</v>
      </c>
      <c r="B211" s="1" t="s">
        <v>751</v>
      </c>
    </row>
    <row r="212" spans="1:2" x14ac:dyDescent="0.2">
      <c r="A212" s="12" t="s">
        <v>867</v>
      </c>
      <c r="B212" s="1" t="s">
        <v>751</v>
      </c>
    </row>
    <row r="213" spans="1:2" x14ac:dyDescent="0.2">
      <c r="A213" s="12" t="s">
        <v>871</v>
      </c>
      <c r="B213" s="1" t="s">
        <v>751</v>
      </c>
    </row>
    <row r="214" spans="1:2" x14ac:dyDescent="0.2">
      <c r="A214" s="12" t="s">
        <v>875</v>
      </c>
      <c r="B214" s="1" t="s">
        <v>751</v>
      </c>
    </row>
    <row r="215" spans="1:2" x14ac:dyDescent="0.2">
      <c r="A215" s="12" t="s">
        <v>879</v>
      </c>
      <c r="B215" s="1" t="s">
        <v>751</v>
      </c>
    </row>
    <row r="216" spans="1:2" x14ac:dyDescent="0.2">
      <c r="A216" s="12" t="s">
        <v>883</v>
      </c>
      <c r="B216" s="1" t="s">
        <v>751</v>
      </c>
    </row>
    <row r="217" spans="1:2" x14ac:dyDescent="0.2">
      <c r="A217" s="12" t="s">
        <v>887</v>
      </c>
      <c r="B217" s="1" t="s">
        <v>751</v>
      </c>
    </row>
    <row r="218" spans="1:2" x14ac:dyDescent="0.2">
      <c r="A218" s="12" t="s">
        <v>891</v>
      </c>
      <c r="B218" s="1" t="s">
        <v>751</v>
      </c>
    </row>
    <row r="219" spans="1:2" x14ac:dyDescent="0.2">
      <c r="A219" s="12" t="s">
        <v>895</v>
      </c>
      <c r="B219" s="1" t="s">
        <v>751</v>
      </c>
    </row>
    <row r="220" spans="1:2" x14ac:dyDescent="0.2">
      <c r="A220" s="12" t="s">
        <v>899</v>
      </c>
      <c r="B220" s="1" t="s">
        <v>751</v>
      </c>
    </row>
    <row r="221" spans="1:2" x14ac:dyDescent="0.2">
      <c r="A221" s="12" t="s">
        <v>903</v>
      </c>
      <c r="B221" s="1" t="s">
        <v>751</v>
      </c>
    </row>
    <row r="222" spans="1:2" x14ac:dyDescent="0.2">
      <c r="A222" s="12" t="s">
        <v>907</v>
      </c>
      <c r="B222" s="1" t="s">
        <v>751</v>
      </c>
    </row>
    <row r="223" spans="1:2" x14ac:dyDescent="0.2">
      <c r="A223" s="12" t="s">
        <v>911</v>
      </c>
      <c r="B223" s="1" t="s">
        <v>751</v>
      </c>
    </row>
    <row r="224" spans="1:2" x14ac:dyDescent="0.2">
      <c r="A224" s="12" t="s">
        <v>915</v>
      </c>
      <c r="B224" s="1" t="s">
        <v>751</v>
      </c>
    </row>
    <row r="225" spans="1:2" x14ac:dyDescent="0.2">
      <c r="A225" s="12" t="s">
        <v>919</v>
      </c>
      <c r="B225" s="1" t="s">
        <v>751</v>
      </c>
    </row>
    <row r="226" spans="1:2" x14ac:dyDescent="0.2">
      <c r="A226" s="12" t="s">
        <v>923</v>
      </c>
      <c r="B226" s="1" t="s">
        <v>751</v>
      </c>
    </row>
    <row r="227" spans="1:2" x14ac:dyDescent="0.2">
      <c r="A227" s="12" t="s">
        <v>927</v>
      </c>
      <c r="B227" s="1" t="s">
        <v>751</v>
      </c>
    </row>
    <row r="228" spans="1:2" x14ac:dyDescent="0.2">
      <c r="A228" s="12" t="s">
        <v>931</v>
      </c>
      <c r="B228" s="1" t="s">
        <v>751</v>
      </c>
    </row>
    <row r="229" spans="1:2" x14ac:dyDescent="0.2">
      <c r="A229" s="12" t="s">
        <v>935</v>
      </c>
      <c r="B229" s="1" t="s">
        <v>751</v>
      </c>
    </row>
    <row r="230" spans="1:2" x14ac:dyDescent="0.2">
      <c r="A230" s="12" t="s">
        <v>939</v>
      </c>
      <c r="B230" s="1" t="s">
        <v>751</v>
      </c>
    </row>
    <row r="231" spans="1:2" x14ac:dyDescent="0.2">
      <c r="A231" s="12" t="s">
        <v>943</v>
      </c>
      <c r="B231" s="1" t="s">
        <v>751</v>
      </c>
    </row>
    <row r="232" spans="1:2" x14ac:dyDescent="0.2">
      <c r="A232" s="12" t="s">
        <v>947</v>
      </c>
      <c r="B232" s="1" t="s">
        <v>751</v>
      </c>
    </row>
    <row r="233" spans="1:2" x14ac:dyDescent="0.2">
      <c r="A233" s="12" t="s">
        <v>951</v>
      </c>
      <c r="B233" s="1" t="s">
        <v>751</v>
      </c>
    </row>
    <row r="234" spans="1:2" x14ac:dyDescent="0.2">
      <c r="A234" s="12" t="s">
        <v>955</v>
      </c>
      <c r="B234" s="1" t="s">
        <v>751</v>
      </c>
    </row>
    <row r="235" spans="1:2" x14ac:dyDescent="0.2">
      <c r="A235" s="12" t="s">
        <v>959</v>
      </c>
      <c r="B235" s="1" t="s">
        <v>751</v>
      </c>
    </row>
    <row r="236" spans="1:2" x14ac:dyDescent="0.2">
      <c r="A236" s="12" t="s">
        <v>963</v>
      </c>
      <c r="B236" s="1" t="s">
        <v>751</v>
      </c>
    </row>
    <row r="237" spans="1:2" x14ac:dyDescent="0.2">
      <c r="A237" s="12" t="s">
        <v>967</v>
      </c>
      <c r="B237" s="1" t="s">
        <v>751</v>
      </c>
    </row>
    <row r="238" spans="1:2" x14ac:dyDescent="0.2">
      <c r="A238" s="12" t="s">
        <v>971</v>
      </c>
      <c r="B238" s="1" t="s">
        <v>751</v>
      </c>
    </row>
    <row r="239" spans="1:2" x14ac:dyDescent="0.2">
      <c r="A239" s="12" t="s">
        <v>975</v>
      </c>
      <c r="B239" s="1" t="s">
        <v>751</v>
      </c>
    </row>
    <row r="240" spans="1:2" x14ac:dyDescent="0.2">
      <c r="A240" s="12" t="s">
        <v>979</v>
      </c>
      <c r="B240" s="1" t="s">
        <v>751</v>
      </c>
    </row>
    <row r="241" spans="1:2" x14ac:dyDescent="0.2">
      <c r="A241" s="12" t="s">
        <v>983</v>
      </c>
      <c r="B241" s="1" t="s">
        <v>751</v>
      </c>
    </row>
  </sheetData>
  <pageMargins left="0.78749999999999998" right="0.78749999999999998" top="1.05277777777778" bottom="1.05277777777778" header="0.78749999999999998" footer="0.78749999999999998"/>
  <pageSetup orientation="portrait" horizontalDpi="300" verticalDpi="300"/>
  <headerFooter>
    <oddHeader>&amp;C&amp;"Times New Roman,Обычный"&amp;12&amp;A</oddHeader>
    <oddFooter>&amp;C&amp;"Times New Roman,Обычный"&amp;12Page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92"/>
  <sheetViews>
    <sheetView zoomScale="110" zoomScaleNormal="110" workbookViewId="0">
      <selection activeCell="A2" sqref="A2:A1592"/>
    </sheetView>
  </sheetViews>
  <sheetFormatPr defaultColWidth="8.7109375" defaultRowHeight="12.75" x14ac:dyDescent="0.2"/>
  <sheetData>
    <row r="1" spans="1:1" x14ac:dyDescent="0.2">
      <c r="A1" s="1" t="s">
        <v>3031</v>
      </c>
    </row>
    <row r="2" spans="1:1" x14ac:dyDescent="0.2">
      <c r="A2" s="1" t="s">
        <v>3031</v>
      </c>
    </row>
    <row r="3" spans="1:1" x14ac:dyDescent="0.2">
      <c r="A3" s="1" t="s">
        <v>3031</v>
      </c>
    </row>
    <row r="4" spans="1:1" x14ac:dyDescent="0.2">
      <c r="A4" s="1" t="s">
        <v>3031</v>
      </c>
    </row>
    <row r="5" spans="1:1" x14ac:dyDescent="0.2">
      <c r="A5" s="1" t="s">
        <v>3031</v>
      </c>
    </row>
    <row r="6" spans="1:1" x14ac:dyDescent="0.2">
      <c r="A6" s="1" t="s">
        <v>3031</v>
      </c>
    </row>
    <row r="7" spans="1:1" x14ac:dyDescent="0.2">
      <c r="A7" s="1" t="s">
        <v>3031</v>
      </c>
    </row>
    <row r="8" spans="1:1" x14ac:dyDescent="0.2">
      <c r="A8" s="1" t="s">
        <v>3031</v>
      </c>
    </row>
    <row r="9" spans="1:1" x14ac:dyDescent="0.2">
      <c r="A9" s="1" t="s">
        <v>3031</v>
      </c>
    </row>
    <row r="10" spans="1:1" x14ac:dyDescent="0.2">
      <c r="A10" s="1" t="s">
        <v>3031</v>
      </c>
    </row>
    <row r="11" spans="1:1" x14ac:dyDescent="0.2">
      <c r="A11" s="1" t="s">
        <v>3031</v>
      </c>
    </row>
    <row r="12" spans="1:1" x14ac:dyDescent="0.2">
      <c r="A12" s="1" t="s">
        <v>3031</v>
      </c>
    </row>
    <row r="13" spans="1:1" x14ac:dyDescent="0.2">
      <c r="A13" s="1" t="s">
        <v>3031</v>
      </c>
    </row>
    <row r="14" spans="1:1" x14ac:dyDescent="0.2">
      <c r="A14" s="1" t="s">
        <v>3031</v>
      </c>
    </row>
    <row r="15" spans="1:1" x14ac:dyDescent="0.2">
      <c r="A15" s="1" t="s">
        <v>3031</v>
      </c>
    </row>
    <row r="16" spans="1:1" x14ac:dyDescent="0.2">
      <c r="A16" s="1" t="s">
        <v>3031</v>
      </c>
    </row>
    <row r="17" spans="1:1" x14ac:dyDescent="0.2">
      <c r="A17" s="1" t="s">
        <v>3031</v>
      </c>
    </row>
    <row r="18" spans="1:1" x14ac:dyDescent="0.2">
      <c r="A18" s="1" t="s">
        <v>3031</v>
      </c>
    </row>
    <row r="19" spans="1:1" x14ac:dyDescent="0.2">
      <c r="A19" s="1" t="s">
        <v>3031</v>
      </c>
    </row>
    <row r="20" spans="1:1" x14ac:dyDescent="0.2">
      <c r="A20" s="1" t="s">
        <v>3031</v>
      </c>
    </row>
    <row r="21" spans="1:1" x14ac:dyDescent="0.2">
      <c r="A21" s="1" t="s">
        <v>3031</v>
      </c>
    </row>
    <row r="22" spans="1:1" x14ac:dyDescent="0.2">
      <c r="A22" s="1" t="s">
        <v>3031</v>
      </c>
    </row>
    <row r="23" spans="1:1" x14ac:dyDescent="0.2">
      <c r="A23" s="1" t="s">
        <v>3031</v>
      </c>
    </row>
    <row r="24" spans="1:1" x14ac:dyDescent="0.2">
      <c r="A24" s="1" t="s">
        <v>3031</v>
      </c>
    </row>
    <row r="25" spans="1:1" x14ac:dyDescent="0.2">
      <c r="A25" s="1" t="s">
        <v>3031</v>
      </c>
    </row>
    <row r="26" spans="1:1" x14ac:dyDescent="0.2">
      <c r="A26" s="1" t="s">
        <v>3031</v>
      </c>
    </row>
    <row r="27" spans="1:1" x14ac:dyDescent="0.2">
      <c r="A27" s="1" t="s">
        <v>3031</v>
      </c>
    </row>
    <row r="28" spans="1:1" x14ac:dyDescent="0.2">
      <c r="A28" s="1" t="s">
        <v>3031</v>
      </c>
    </row>
    <row r="29" spans="1:1" x14ac:dyDescent="0.2">
      <c r="A29" s="1" t="s">
        <v>3031</v>
      </c>
    </row>
    <row r="30" spans="1:1" x14ac:dyDescent="0.2">
      <c r="A30" s="1" t="s">
        <v>3031</v>
      </c>
    </row>
    <row r="31" spans="1:1" x14ac:dyDescent="0.2">
      <c r="A31" s="1" t="s">
        <v>3031</v>
      </c>
    </row>
    <row r="32" spans="1:1" x14ac:dyDescent="0.2">
      <c r="A32" s="1" t="s">
        <v>3031</v>
      </c>
    </row>
    <row r="33" spans="1:1" x14ac:dyDescent="0.2">
      <c r="A33" s="1" t="s">
        <v>3031</v>
      </c>
    </row>
    <row r="34" spans="1:1" x14ac:dyDescent="0.2">
      <c r="A34" s="1" t="s">
        <v>3031</v>
      </c>
    </row>
    <row r="35" spans="1:1" x14ac:dyDescent="0.2">
      <c r="A35" s="1" t="s">
        <v>3031</v>
      </c>
    </row>
    <row r="36" spans="1:1" x14ac:dyDescent="0.2">
      <c r="A36" s="1" t="s">
        <v>3031</v>
      </c>
    </row>
    <row r="37" spans="1:1" x14ac:dyDescent="0.2">
      <c r="A37" s="1" t="s">
        <v>3031</v>
      </c>
    </row>
    <row r="38" spans="1:1" x14ac:dyDescent="0.2">
      <c r="A38" s="1" t="s">
        <v>3031</v>
      </c>
    </row>
    <row r="39" spans="1:1" x14ac:dyDescent="0.2">
      <c r="A39" s="1" t="s">
        <v>3031</v>
      </c>
    </row>
    <row r="40" spans="1:1" x14ac:dyDescent="0.2">
      <c r="A40" s="1" t="s">
        <v>3031</v>
      </c>
    </row>
    <row r="41" spans="1:1" x14ac:dyDescent="0.2">
      <c r="A41" s="1" t="s">
        <v>3031</v>
      </c>
    </row>
    <row r="42" spans="1:1" x14ac:dyDescent="0.2">
      <c r="A42" s="1" t="s">
        <v>3031</v>
      </c>
    </row>
    <row r="43" spans="1:1" x14ac:dyDescent="0.2">
      <c r="A43" s="1" t="s">
        <v>3031</v>
      </c>
    </row>
    <row r="44" spans="1:1" x14ac:dyDescent="0.2">
      <c r="A44" s="1" t="s">
        <v>3031</v>
      </c>
    </row>
    <row r="45" spans="1:1" x14ac:dyDescent="0.2">
      <c r="A45" s="1" t="s">
        <v>3031</v>
      </c>
    </row>
    <row r="46" spans="1:1" x14ac:dyDescent="0.2">
      <c r="A46" s="1" t="s">
        <v>3031</v>
      </c>
    </row>
    <row r="47" spans="1:1" x14ac:dyDescent="0.2">
      <c r="A47" s="1" t="s">
        <v>3031</v>
      </c>
    </row>
    <row r="48" spans="1:1" x14ac:dyDescent="0.2">
      <c r="A48" s="1" t="s">
        <v>3031</v>
      </c>
    </row>
    <row r="49" spans="1:1" x14ac:dyDescent="0.2">
      <c r="A49" s="1" t="s">
        <v>3031</v>
      </c>
    </row>
    <row r="50" spans="1:1" x14ac:dyDescent="0.2">
      <c r="A50" s="1" t="s">
        <v>3031</v>
      </c>
    </row>
    <row r="51" spans="1:1" x14ac:dyDescent="0.2">
      <c r="A51" s="1" t="s">
        <v>3031</v>
      </c>
    </row>
    <row r="52" spans="1:1" x14ac:dyDescent="0.2">
      <c r="A52" s="1" t="s">
        <v>3031</v>
      </c>
    </row>
    <row r="53" spans="1:1" x14ac:dyDescent="0.2">
      <c r="A53" s="1" t="s">
        <v>3031</v>
      </c>
    </row>
    <row r="54" spans="1:1" x14ac:dyDescent="0.2">
      <c r="A54" s="1" t="s">
        <v>3031</v>
      </c>
    </row>
    <row r="55" spans="1:1" x14ac:dyDescent="0.2">
      <c r="A55" s="1" t="s">
        <v>3031</v>
      </c>
    </row>
    <row r="56" spans="1:1" x14ac:dyDescent="0.2">
      <c r="A56" s="1" t="s">
        <v>3031</v>
      </c>
    </row>
    <row r="57" spans="1:1" x14ac:dyDescent="0.2">
      <c r="A57" s="1" t="s">
        <v>3031</v>
      </c>
    </row>
    <row r="58" spans="1:1" x14ac:dyDescent="0.2">
      <c r="A58" s="1" t="s">
        <v>3031</v>
      </c>
    </row>
    <row r="59" spans="1:1" x14ac:dyDescent="0.2">
      <c r="A59" s="1" t="s">
        <v>3031</v>
      </c>
    </row>
    <row r="60" spans="1:1" x14ac:dyDescent="0.2">
      <c r="A60" s="1" t="s">
        <v>3031</v>
      </c>
    </row>
    <row r="61" spans="1:1" x14ac:dyDescent="0.2">
      <c r="A61" s="1" t="s">
        <v>3031</v>
      </c>
    </row>
    <row r="62" spans="1:1" x14ac:dyDescent="0.2">
      <c r="A62" s="1" t="s">
        <v>3031</v>
      </c>
    </row>
    <row r="63" spans="1:1" x14ac:dyDescent="0.2">
      <c r="A63" s="1" t="s">
        <v>3031</v>
      </c>
    </row>
    <row r="64" spans="1:1" x14ac:dyDescent="0.2">
      <c r="A64" s="1" t="s">
        <v>3031</v>
      </c>
    </row>
    <row r="65" spans="1:1" x14ac:dyDescent="0.2">
      <c r="A65" s="1" t="s">
        <v>3031</v>
      </c>
    </row>
    <row r="66" spans="1:1" x14ac:dyDescent="0.2">
      <c r="A66" s="1" t="s">
        <v>3031</v>
      </c>
    </row>
    <row r="67" spans="1:1" x14ac:dyDescent="0.2">
      <c r="A67" s="1" t="s">
        <v>3031</v>
      </c>
    </row>
    <row r="68" spans="1:1" x14ac:dyDescent="0.2">
      <c r="A68" s="1" t="s">
        <v>3031</v>
      </c>
    </row>
    <row r="69" spans="1:1" x14ac:dyDescent="0.2">
      <c r="A69" s="1" t="s">
        <v>3031</v>
      </c>
    </row>
    <row r="70" spans="1:1" x14ac:dyDescent="0.2">
      <c r="A70" s="1" t="s">
        <v>3031</v>
      </c>
    </row>
    <row r="71" spans="1:1" x14ac:dyDescent="0.2">
      <c r="A71" s="1" t="s">
        <v>3031</v>
      </c>
    </row>
    <row r="72" spans="1:1" x14ac:dyDescent="0.2">
      <c r="A72" s="1" t="s">
        <v>3031</v>
      </c>
    </row>
    <row r="73" spans="1:1" x14ac:dyDescent="0.2">
      <c r="A73" s="1" t="s">
        <v>3031</v>
      </c>
    </row>
    <row r="74" spans="1:1" x14ac:dyDescent="0.2">
      <c r="A74" s="1" t="s">
        <v>3031</v>
      </c>
    </row>
    <row r="75" spans="1:1" x14ac:dyDescent="0.2">
      <c r="A75" s="1" t="s">
        <v>3031</v>
      </c>
    </row>
    <row r="76" spans="1:1" x14ac:dyDescent="0.2">
      <c r="A76" s="1" t="s">
        <v>3031</v>
      </c>
    </row>
    <row r="77" spans="1:1" x14ac:dyDescent="0.2">
      <c r="A77" s="1" t="s">
        <v>3031</v>
      </c>
    </row>
    <row r="78" spans="1:1" x14ac:dyDescent="0.2">
      <c r="A78" s="1" t="s">
        <v>3031</v>
      </c>
    </row>
    <row r="79" spans="1:1" x14ac:dyDescent="0.2">
      <c r="A79" s="1" t="s">
        <v>3031</v>
      </c>
    </row>
    <row r="80" spans="1:1" x14ac:dyDescent="0.2">
      <c r="A80" s="1" t="s">
        <v>3031</v>
      </c>
    </row>
    <row r="81" spans="1:1" x14ac:dyDescent="0.2">
      <c r="A81" s="1" t="s">
        <v>3031</v>
      </c>
    </row>
    <row r="82" spans="1:1" x14ac:dyDescent="0.2">
      <c r="A82" s="1" t="s">
        <v>3031</v>
      </c>
    </row>
    <row r="83" spans="1:1" x14ac:dyDescent="0.2">
      <c r="A83" s="1" t="s">
        <v>3031</v>
      </c>
    </row>
    <row r="84" spans="1:1" x14ac:dyDescent="0.2">
      <c r="A84" s="1" t="s">
        <v>3031</v>
      </c>
    </row>
    <row r="85" spans="1:1" x14ac:dyDescent="0.2">
      <c r="A85" s="1" t="s">
        <v>3031</v>
      </c>
    </row>
    <row r="86" spans="1:1" x14ac:dyDescent="0.2">
      <c r="A86" s="1" t="s">
        <v>3031</v>
      </c>
    </row>
    <row r="87" spans="1:1" x14ac:dyDescent="0.2">
      <c r="A87" s="1" t="s">
        <v>3031</v>
      </c>
    </row>
    <row r="88" spans="1:1" x14ac:dyDescent="0.2">
      <c r="A88" s="1" t="s">
        <v>3031</v>
      </c>
    </row>
    <row r="89" spans="1:1" x14ac:dyDescent="0.2">
      <c r="A89" s="1" t="s">
        <v>3031</v>
      </c>
    </row>
    <row r="90" spans="1:1" x14ac:dyDescent="0.2">
      <c r="A90" s="1" t="s">
        <v>3031</v>
      </c>
    </row>
    <row r="91" spans="1:1" x14ac:dyDescent="0.2">
      <c r="A91" s="1" t="s">
        <v>3031</v>
      </c>
    </row>
    <row r="92" spans="1:1" x14ac:dyDescent="0.2">
      <c r="A92" s="1" t="s">
        <v>3031</v>
      </c>
    </row>
    <row r="93" spans="1:1" x14ac:dyDescent="0.2">
      <c r="A93" s="1" t="s">
        <v>3031</v>
      </c>
    </row>
    <row r="94" spans="1:1" x14ac:dyDescent="0.2">
      <c r="A94" s="1" t="s">
        <v>3031</v>
      </c>
    </row>
    <row r="95" spans="1:1" x14ac:dyDescent="0.2">
      <c r="A95" s="1" t="s">
        <v>3031</v>
      </c>
    </row>
    <row r="96" spans="1:1" x14ac:dyDescent="0.2">
      <c r="A96" s="1" t="s">
        <v>3031</v>
      </c>
    </row>
    <row r="97" spans="1:1" x14ac:dyDescent="0.2">
      <c r="A97" s="1" t="s">
        <v>3031</v>
      </c>
    </row>
    <row r="98" spans="1:1" x14ac:dyDescent="0.2">
      <c r="A98" s="1" t="s">
        <v>3031</v>
      </c>
    </row>
    <row r="99" spans="1:1" x14ac:dyDescent="0.2">
      <c r="A99" s="1" t="s">
        <v>3031</v>
      </c>
    </row>
    <row r="100" spans="1:1" x14ac:dyDescent="0.2">
      <c r="A100" s="1" t="s">
        <v>3031</v>
      </c>
    </row>
    <row r="101" spans="1:1" x14ac:dyDescent="0.2">
      <c r="A101" s="1" t="s">
        <v>3031</v>
      </c>
    </row>
    <row r="102" spans="1:1" x14ac:dyDescent="0.2">
      <c r="A102" s="1" t="s">
        <v>3031</v>
      </c>
    </row>
    <row r="103" spans="1:1" x14ac:dyDescent="0.2">
      <c r="A103" s="1" t="s">
        <v>3031</v>
      </c>
    </row>
    <row r="104" spans="1:1" x14ac:dyDescent="0.2">
      <c r="A104" s="1" t="s">
        <v>3031</v>
      </c>
    </row>
    <row r="105" spans="1:1" x14ac:dyDescent="0.2">
      <c r="A105" s="1" t="s">
        <v>3031</v>
      </c>
    </row>
    <row r="106" spans="1:1" x14ac:dyDescent="0.2">
      <c r="A106" s="1" t="s">
        <v>3031</v>
      </c>
    </row>
    <row r="107" spans="1:1" x14ac:dyDescent="0.2">
      <c r="A107" s="1" t="s">
        <v>3031</v>
      </c>
    </row>
    <row r="108" spans="1:1" x14ac:dyDescent="0.2">
      <c r="A108" s="1" t="s">
        <v>3031</v>
      </c>
    </row>
    <row r="109" spans="1:1" x14ac:dyDescent="0.2">
      <c r="A109" s="1" t="s">
        <v>3031</v>
      </c>
    </row>
    <row r="110" spans="1:1" x14ac:dyDescent="0.2">
      <c r="A110" s="1" t="s">
        <v>3031</v>
      </c>
    </row>
    <row r="111" spans="1:1" x14ac:dyDescent="0.2">
      <c r="A111" s="1" t="s">
        <v>3031</v>
      </c>
    </row>
    <row r="112" spans="1:1" x14ac:dyDescent="0.2">
      <c r="A112" s="1" t="s">
        <v>3031</v>
      </c>
    </row>
    <row r="113" spans="1:1" x14ac:dyDescent="0.2">
      <c r="A113" s="1" t="s">
        <v>3031</v>
      </c>
    </row>
    <row r="114" spans="1:1" x14ac:dyDescent="0.2">
      <c r="A114" s="1" t="s">
        <v>3031</v>
      </c>
    </row>
    <row r="115" spans="1:1" x14ac:dyDescent="0.2">
      <c r="A115" s="1" t="s">
        <v>3031</v>
      </c>
    </row>
    <row r="116" spans="1:1" x14ac:dyDescent="0.2">
      <c r="A116" s="1" t="s">
        <v>3031</v>
      </c>
    </row>
    <row r="117" spans="1:1" x14ac:dyDescent="0.2">
      <c r="A117" s="1" t="s">
        <v>3031</v>
      </c>
    </row>
    <row r="118" spans="1:1" x14ac:dyDescent="0.2">
      <c r="A118" s="1" t="s">
        <v>3031</v>
      </c>
    </row>
    <row r="119" spans="1:1" x14ac:dyDescent="0.2">
      <c r="A119" s="1" t="s">
        <v>3031</v>
      </c>
    </row>
    <row r="120" spans="1:1" x14ac:dyDescent="0.2">
      <c r="A120" s="1" t="s">
        <v>3031</v>
      </c>
    </row>
    <row r="121" spans="1:1" x14ac:dyDescent="0.2">
      <c r="A121" s="1" t="s">
        <v>3031</v>
      </c>
    </row>
    <row r="122" spans="1:1" x14ac:dyDescent="0.2">
      <c r="A122" s="1" t="s">
        <v>3031</v>
      </c>
    </row>
    <row r="123" spans="1:1" x14ac:dyDescent="0.2">
      <c r="A123" s="1" t="s">
        <v>3031</v>
      </c>
    </row>
    <row r="124" spans="1:1" x14ac:dyDescent="0.2">
      <c r="A124" s="1" t="s">
        <v>3031</v>
      </c>
    </row>
    <row r="125" spans="1:1" x14ac:dyDescent="0.2">
      <c r="A125" s="1" t="s">
        <v>3031</v>
      </c>
    </row>
    <row r="126" spans="1:1" x14ac:dyDescent="0.2">
      <c r="A126" s="1" t="s">
        <v>3031</v>
      </c>
    </row>
    <row r="127" spans="1:1" x14ac:dyDescent="0.2">
      <c r="A127" s="1" t="s">
        <v>3031</v>
      </c>
    </row>
    <row r="128" spans="1:1" x14ac:dyDescent="0.2">
      <c r="A128" s="1" t="s">
        <v>3031</v>
      </c>
    </row>
    <row r="129" spans="1:1" x14ac:dyDescent="0.2">
      <c r="A129" s="1" t="s">
        <v>3031</v>
      </c>
    </row>
    <row r="130" spans="1:1" x14ac:dyDescent="0.2">
      <c r="A130" s="1" t="s">
        <v>3031</v>
      </c>
    </row>
    <row r="131" spans="1:1" x14ac:dyDescent="0.2">
      <c r="A131" s="1" t="s">
        <v>3031</v>
      </c>
    </row>
    <row r="132" spans="1:1" x14ac:dyDescent="0.2">
      <c r="A132" s="1" t="s">
        <v>3031</v>
      </c>
    </row>
    <row r="133" spans="1:1" x14ac:dyDescent="0.2">
      <c r="A133" s="1" t="s">
        <v>3031</v>
      </c>
    </row>
    <row r="134" spans="1:1" x14ac:dyDescent="0.2">
      <c r="A134" s="1" t="s">
        <v>3031</v>
      </c>
    </row>
    <row r="135" spans="1:1" x14ac:dyDescent="0.2">
      <c r="A135" s="1" t="s">
        <v>3031</v>
      </c>
    </row>
    <row r="136" spans="1:1" x14ac:dyDescent="0.2">
      <c r="A136" s="1" t="s">
        <v>3031</v>
      </c>
    </row>
    <row r="137" spans="1:1" x14ac:dyDescent="0.2">
      <c r="A137" s="1" t="s">
        <v>3031</v>
      </c>
    </row>
    <row r="138" spans="1:1" x14ac:dyDescent="0.2">
      <c r="A138" s="1" t="s">
        <v>3031</v>
      </c>
    </row>
    <row r="139" spans="1:1" x14ac:dyDescent="0.2">
      <c r="A139" s="1" t="s">
        <v>3031</v>
      </c>
    </row>
    <row r="140" spans="1:1" x14ac:dyDescent="0.2">
      <c r="A140" s="1" t="s">
        <v>3031</v>
      </c>
    </row>
    <row r="141" spans="1:1" x14ac:dyDescent="0.2">
      <c r="A141" s="1" t="s">
        <v>3031</v>
      </c>
    </row>
    <row r="142" spans="1:1" x14ac:dyDescent="0.2">
      <c r="A142" s="1" t="s">
        <v>3031</v>
      </c>
    </row>
    <row r="143" spans="1:1" x14ac:dyDescent="0.2">
      <c r="A143" s="1" t="s">
        <v>3031</v>
      </c>
    </row>
    <row r="144" spans="1:1" x14ac:dyDescent="0.2">
      <c r="A144" s="1" t="s">
        <v>3031</v>
      </c>
    </row>
    <row r="145" spans="1:1" x14ac:dyDescent="0.2">
      <c r="A145" s="1" t="s">
        <v>3031</v>
      </c>
    </row>
    <row r="146" spans="1:1" x14ac:dyDescent="0.2">
      <c r="A146" s="1" t="s">
        <v>3031</v>
      </c>
    </row>
    <row r="147" spans="1:1" x14ac:dyDescent="0.2">
      <c r="A147" s="1" t="s">
        <v>3031</v>
      </c>
    </row>
    <row r="148" spans="1:1" x14ac:dyDescent="0.2">
      <c r="A148" s="1" t="s">
        <v>3031</v>
      </c>
    </row>
    <row r="149" spans="1:1" x14ac:dyDescent="0.2">
      <c r="A149" s="1" t="s">
        <v>3031</v>
      </c>
    </row>
    <row r="150" spans="1:1" x14ac:dyDescent="0.2">
      <c r="A150" s="1" t="s">
        <v>3031</v>
      </c>
    </row>
    <row r="151" spans="1:1" x14ac:dyDescent="0.2">
      <c r="A151" s="1" t="s">
        <v>3031</v>
      </c>
    </row>
    <row r="152" spans="1:1" x14ac:dyDescent="0.2">
      <c r="A152" s="1" t="s">
        <v>3031</v>
      </c>
    </row>
    <row r="153" spans="1:1" x14ac:dyDescent="0.2">
      <c r="A153" s="1" t="s">
        <v>3031</v>
      </c>
    </row>
    <row r="154" spans="1:1" x14ac:dyDescent="0.2">
      <c r="A154" s="1" t="s">
        <v>3031</v>
      </c>
    </row>
    <row r="155" spans="1:1" x14ac:dyDescent="0.2">
      <c r="A155" s="1" t="s">
        <v>3031</v>
      </c>
    </row>
    <row r="156" spans="1:1" x14ac:dyDescent="0.2">
      <c r="A156" s="1" t="s">
        <v>3031</v>
      </c>
    </row>
    <row r="157" spans="1:1" x14ac:dyDescent="0.2">
      <c r="A157" s="1" t="s">
        <v>3031</v>
      </c>
    </row>
    <row r="158" spans="1:1" x14ac:dyDescent="0.2">
      <c r="A158" s="1" t="s">
        <v>3031</v>
      </c>
    </row>
    <row r="159" spans="1:1" x14ac:dyDescent="0.2">
      <c r="A159" s="1" t="s">
        <v>3031</v>
      </c>
    </row>
    <row r="160" spans="1:1" x14ac:dyDescent="0.2">
      <c r="A160" s="1" t="s">
        <v>3031</v>
      </c>
    </row>
    <row r="161" spans="1:1" x14ac:dyDescent="0.2">
      <c r="A161" s="1" t="s">
        <v>3031</v>
      </c>
    </row>
    <row r="162" spans="1:1" x14ac:dyDescent="0.2">
      <c r="A162" s="1" t="s">
        <v>3031</v>
      </c>
    </row>
    <row r="163" spans="1:1" x14ac:dyDescent="0.2">
      <c r="A163" s="1" t="s">
        <v>3031</v>
      </c>
    </row>
    <row r="164" spans="1:1" x14ac:dyDescent="0.2">
      <c r="A164" s="1" t="s">
        <v>3031</v>
      </c>
    </row>
    <row r="165" spans="1:1" x14ac:dyDescent="0.2">
      <c r="A165" s="1" t="s">
        <v>3031</v>
      </c>
    </row>
    <row r="166" spans="1:1" x14ac:dyDescent="0.2">
      <c r="A166" s="1" t="s">
        <v>3031</v>
      </c>
    </row>
    <row r="167" spans="1:1" x14ac:dyDescent="0.2">
      <c r="A167" s="1" t="s">
        <v>3031</v>
      </c>
    </row>
    <row r="168" spans="1:1" x14ac:dyDescent="0.2">
      <c r="A168" s="1" t="s">
        <v>3031</v>
      </c>
    </row>
    <row r="169" spans="1:1" x14ac:dyDescent="0.2">
      <c r="A169" s="1" t="s">
        <v>3031</v>
      </c>
    </row>
    <row r="170" spans="1:1" x14ac:dyDescent="0.2">
      <c r="A170" s="1" t="s">
        <v>3031</v>
      </c>
    </row>
    <row r="171" spans="1:1" x14ac:dyDescent="0.2">
      <c r="A171" s="1" t="s">
        <v>3031</v>
      </c>
    </row>
    <row r="172" spans="1:1" x14ac:dyDescent="0.2">
      <c r="A172" s="1" t="s">
        <v>3031</v>
      </c>
    </row>
    <row r="173" spans="1:1" x14ac:dyDescent="0.2">
      <c r="A173" s="1" t="s">
        <v>3031</v>
      </c>
    </row>
    <row r="174" spans="1:1" x14ac:dyDescent="0.2">
      <c r="A174" s="1" t="s">
        <v>3031</v>
      </c>
    </row>
    <row r="175" spans="1:1" x14ac:dyDescent="0.2">
      <c r="A175" s="1" t="s">
        <v>3031</v>
      </c>
    </row>
    <row r="176" spans="1:1" x14ac:dyDescent="0.2">
      <c r="A176" s="1" t="s">
        <v>3031</v>
      </c>
    </row>
    <row r="177" spans="1:1" x14ac:dyDescent="0.2">
      <c r="A177" s="1" t="s">
        <v>3031</v>
      </c>
    </row>
    <row r="178" spans="1:1" x14ac:dyDescent="0.2">
      <c r="A178" s="1" t="s">
        <v>3031</v>
      </c>
    </row>
    <row r="179" spans="1:1" x14ac:dyDescent="0.2">
      <c r="A179" s="1" t="s">
        <v>3031</v>
      </c>
    </row>
    <row r="180" spans="1:1" x14ac:dyDescent="0.2">
      <c r="A180" s="1" t="s">
        <v>3031</v>
      </c>
    </row>
    <row r="181" spans="1:1" x14ac:dyDescent="0.2">
      <c r="A181" s="1" t="s">
        <v>3031</v>
      </c>
    </row>
    <row r="182" spans="1:1" x14ac:dyDescent="0.2">
      <c r="A182" s="1" t="s">
        <v>3031</v>
      </c>
    </row>
    <row r="183" spans="1:1" x14ac:dyDescent="0.2">
      <c r="A183" s="1" t="s">
        <v>3031</v>
      </c>
    </row>
    <row r="184" spans="1:1" x14ac:dyDescent="0.2">
      <c r="A184" s="1" t="s">
        <v>3031</v>
      </c>
    </row>
    <row r="185" spans="1:1" x14ac:dyDescent="0.2">
      <c r="A185" s="1" t="s">
        <v>3031</v>
      </c>
    </row>
    <row r="186" spans="1:1" x14ac:dyDescent="0.2">
      <c r="A186" s="1" t="s">
        <v>3031</v>
      </c>
    </row>
    <row r="187" spans="1:1" x14ac:dyDescent="0.2">
      <c r="A187" s="1" t="s">
        <v>3031</v>
      </c>
    </row>
    <row r="188" spans="1:1" x14ac:dyDescent="0.2">
      <c r="A188" s="1" t="s">
        <v>3031</v>
      </c>
    </row>
    <row r="189" spans="1:1" x14ac:dyDescent="0.2">
      <c r="A189" s="1" t="s">
        <v>3031</v>
      </c>
    </row>
    <row r="190" spans="1:1" x14ac:dyDescent="0.2">
      <c r="A190" s="1" t="s">
        <v>3031</v>
      </c>
    </row>
    <row r="191" spans="1:1" x14ac:dyDescent="0.2">
      <c r="A191" s="1" t="s">
        <v>3031</v>
      </c>
    </row>
    <row r="192" spans="1:1" x14ac:dyDescent="0.2">
      <c r="A192" s="1" t="s">
        <v>3031</v>
      </c>
    </row>
    <row r="193" spans="1:1" x14ac:dyDescent="0.2">
      <c r="A193" s="1" t="s">
        <v>3031</v>
      </c>
    </row>
    <row r="194" spans="1:1" x14ac:dyDescent="0.2">
      <c r="A194" s="1" t="s">
        <v>3031</v>
      </c>
    </row>
    <row r="195" spans="1:1" x14ac:dyDescent="0.2">
      <c r="A195" s="1" t="s">
        <v>3031</v>
      </c>
    </row>
    <row r="196" spans="1:1" x14ac:dyDescent="0.2">
      <c r="A196" s="1" t="s">
        <v>3031</v>
      </c>
    </row>
    <row r="197" spans="1:1" x14ac:dyDescent="0.2">
      <c r="A197" s="1" t="s">
        <v>3031</v>
      </c>
    </row>
    <row r="198" spans="1:1" x14ac:dyDescent="0.2">
      <c r="A198" s="1" t="s">
        <v>3031</v>
      </c>
    </row>
    <row r="199" spans="1:1" x14ac:dyDescent="0.2">
      <c r="A199" s="1" t="s">
        <v>3031</v>
      </c>
    </row>
    <row r="200" spans="1:1" x14ac:dyDescent="0.2">
      <c r="A200" s="1" t="s">
        <v>3031</v>
      </c>
    </row>
    <row r="201" spans="1:1" x14ac:dyDescent="0.2">
      <c r="A201" s="1" t="s">
        <v>3031</v>
      </c>
    </row>
    <row r="202" spans="1:1" x14ac:dyDescent="0.2">
      <c r="A202" s="1" t="s">
        <v>3031</v>
      </c>
    </row>
    <row r="203" spans="1:1" x14ac:dyDescent="0.2">
      <c r="A203" s="1" t="s">
        <v>3031</v>
      </c>
    </row>
    <row r="204" spans="1:1" x14ac:dyDescent="0.2">
      <c r="A204" s="1" t="s">
        <v>3031</v>
      </c>
    </row>
    <row r="205" spans="1:1" x14ac:dyDescent="0.2">
      <c r="A205" s="1" t="s">
        <v>3031</v>
      </c>
    </row>
    <row r="206" spans="1:1" x14ac:dyDescent="0.2">
      <c r="A206" s="1" t="s">
        <v>3031</v>
      </c>
    </row>
    <row r="207" spans="1:1" x14ac:dyDescent="0.2">
      <c r="A207" s="1" t="s">
        <v>3031</v>
      </c>
    </row>
    <row r="208" spans="1:1" x14ac:dyDescent="0.2">
      <c r="A208" s="1" t="s">
        <v>3031</v>
      </c>
    </row>
    <row r="209" spans="1:1" x14ac:dyDescent="0.2">
      <c r="A209" s="1" t="s">
        <v>3031</v>
      </c>
    </row>
    <row r="210" spans="1:1" x14ac:dyDescent="0.2">
      <c r="A210" s="1" t="s">
        <v>3031</v>
      </c>
    </row>
    <row r="211" spans="1:1" x14ac:dyDescent="0.2">
      <c r="A211" s="1" t="s">
        <v>3031</v>
      </c>
    </row>
    <row r="212" spans="1:1" x14ac:dyDescent="0.2">
      <c r="A212" s="1" t="s">
        <v>3031</v>
      </c>
    </row>
    <row r="213" spans="1:1" x14ac:dyDescent="0.2">
      <c r="A213" s="1" t="s">
        <v>3031</v>
      </c>
    </row>
    <row r="214" spans="1:1" x14ac:dyDescent="0.2">
      <c r="A214" s="1" t="s">
        <v>3031</v>
      </c>
    </row>
    <row r="215" spans="1:1" x14ac:dyDescent="0.2">
      <c r="A215" s="1" t="s">
        <v>3031</v>
      </c>
    </row>
    <row r="216" spans="1:1" x14ac:dyDescent="0.2">
      <c r="A216" s="1" t="s">
        <v>3031</v>
      </c>
    </row>
    <row r="217" spans="1:1" x14ac:dyDescent="0.2">
      <c r="A217" s="1" t="s">
        <v>3031</v>
      </c>
    </row>
    <row r="218" spans="1:1" x14ac:dyDescent="0.2">
      <c r="A218" s="1" t="s">
        <v>3031</v>
      </c>
    </row>
    <row r="219" spans="1:1" x14ac:dyDescent="0.2">
      <c r="A219" s="1" t="s">
        <v>3031</v>
      </c>
    </row>
    <row r="220" spans="1:1" x14ac:dyDescent="0.2">
      <c r="A220" s="1" t="s">
        <v>3031</v>
      </c>
    </row>
    <row r="221" spans="1:1" x14ac:dyDescent="0.2">
      <c r="A221" s="1" t="s">
        <v>3031</v>
      </c>
    </row>
    <row r="222" spans="1:1" x14ac:dyDescent="0.2">
      <c r="A222" s="1" t="s">
        <v>3031</v>
      </c>
    </row>
    <row r="223" spans="1:1" x14ac:dyDescent="0.2">
      <c r="A223" s="1" t="s">
        <v>3031</v>
      </c>
    </row>
    <row r="224" spans="1:1" x14ac:dyDescent="0.2">
      <c r="A224" s="1" t="s">
        <v>3031</v>
      </c>
    </row>
    <row r="225" spans="1:1" x14ac:dyDescent="0.2">
      <c r="A225" s="1" t="s">
        <v>3031</v>
      </c>
    </row>
    <row r="226" spans="1:1" x14ac:dyDescent="0.2">
      <c r="A226" s="1" t="s">
        <v>3031</v>
      </c>
    </row>
    <row r="227" spans="1:1" x14ac:dyDescent="0.2">
      <c r="A227" s="1" t="s">
        <v>3031</v>
      </c>
    </row>
    <row r="228" spans="1:1" x14ac:dyDescent="0.2">
      <c r="A228" s="1" t="s">
        <v>3031</v>
      </c>
    </row>
    <row r="229" spans="1:1" x14ac:dyDescent="0.2">
      <c r="A229" s="1" t="s">
        <v>3031</v>
      </c>
    </row>
    <row r="230" spans="1:1" x14ac:dyDescent="0.2">
      <c r="A230" s="1" t="s">
        <v>3031</v>
      </c>
    </row>
    <row r="231" spans="1:1" x14ac:dyDescent="0.2">
      <c r="A231" s="1" t="s">
        <v>3031</v>
      </c>
    </row>
    <row r="232" spans="1:1" x14ac:dyDescent="0.2">
      <c r="A232" s="1" t="s">
        <v>3031</v>
      </c>
    </row>
    <row r="233" spans="1:1" x14ac:dyDescent="0.2">
      <c r="A233" s="1" t="s">
        <v>3031</v>
      </c>
    </row>
    <row r="234" spans="1:1" x14ac:dyDescent="0.2">
      <c r="A234" s="1" t="s">
        <v>3031</v>
      </c>
    </row>
    <row r="235" spans="1:1" x14ac:dyDescent="0.2">
      <c r="A235" s="1" t="s">
        <v>3031</v>
      </c>
    </row>
    <row r="236" spans="1:1" x14ac:dyDescent="0.2">
      <c r="A236" s="1" t="s">
        <v>3031</v>
      </c>
    </row>
    <row r="237" spans="1:1" x14ac:dyDescent="0.2">
      <c r="A237" s="1" t="s">
        <v>3031</v>
      </c>
    </row>
    <row r="238" spans="1:1" x14ac:dyDescent="0.2">
      <c r="A238" s="1" t="s">
        <v>3031</v>
      </c>
    </row>
    <row r="239" spans="1:1" x14ac:dyDescent="0.2">
      <c r="A239" s="1" t="s">
        <v>3031</v>
      </c>
    </row>
    <row r="240" spans="1:1" x14ac:dyDescent="0.2">
      <c r="A240" s="1" t="s">
        <v>3031</v>
      </c>
    </row>
    <row r="241" spans="1:1" x14ac:dyDescent="0.2">
      <c r="A241" s="1" t="s">
        <v>3031</v>
      </c>
    </row>
    <row r="242" spans="1:1" x14ac:dyDescent="0.2">
      <c r="A242" s="1" t="s">
        <v>3031</v>
      </c>
    </row>
    <row r="243" spans="1:1" x14ac:dyDescent="0.2">
      <c r="A243" s="1" t="s">
        <v>3031</v>
      </c>
    </row>
    <row r="244" spans="1:1" x14ac:dyDescent="0.2">
      <c r="A244" s="1" t="s">
        <v>3031</v>
      </c>
    </row>
    <row r="245" spans="1:1" x14ac:dyDescent="0.2">
      <c r="A245" s="1" t="s">
        <v>3031</v>
      </c>
    </row>
    <row r="246" spans="1:1" x14ac:dyDescent="0.2">
      <c r="A246" s="1" t="s">
        <v>3031</v>
      </c>
    </row>
    <row r="247" spans="1:1" x14ac:dyDescent="0.2">
      <c r="A247" s="1" t="s">
        <v>3031</v>
      </c>
    </row>
    <row r="248" spans="1:1" x14ac:dyDescent="0.2">
      <c r="A248" s="1" t="s">
        <v>3031</v>
      </c>
    </row>
    <row r="249" spans="1:1" x14ac:dyDescent="0.2">
      <c r="A249" s="1" t="s">
        <v>3031</v>
      </c>
    </row>
    <row r="250" spans="1:1" x14ac:dyDescent="0.2">
      <c r="A250" s="1" t="s">
        <v>3031</v>
      </c>
    </row>
    <row r="251" spans="1:1" x14ac:dyDescent="0.2">
      <c r="A251" s="1" t="s">
        <v>3031</v>
      </c>
    </row>
    <row r="252" spans="1:1" x14ac:dyDescent="0.2">
      <c r="A252" s="1" t="s">
        <v>3031</v>
      </c>
    </row>
    <row r="253" spans="1:1" x14ac:dyDescent="0.2">
      <c r="A253" s="1" t="s">
        <v>3031</v>
      </c>
    </row>
    <row r="254" spans="1:1" x14ac:dyDescent="0.2">
      <c r="A254" s="1" t="s">
        <v>3031</v>
      </c>
    </row>
    <row r="255" spans="1:1" x14ac:dyDescent="0.2">
      <c r="A255" s="1" t="s">
        <v>3031</v>
      </c>
    </row>
    <row r="256" spans="1:1" x14ac:dyDescent="0.2">
      <c r="A256" s="1" t="s">
        <v>3031</v>
      </c>
    </row>
    <row r="257" spans="1:1" x14ac:dyDescent="0.2">
      <c r="A257" s="1" t="s">
        <v>3031</v>
      </c>
    </row>
    <row r="258" spans="1:1" x14ac:dyDescent="0.2">
      <c r="A258" s="1" t="s">
        <v>3031</v>
      </c>
    </row>
    <row r="259" spans="1:1" x14ac:dyDescent="0.2">
      <c r="A259" s="1" t="s">
        <v>3031</v>
      </c>
    </row>
    <row r="260" spans="1:1" x14ac:dyDescent="0.2">
      <c r="A260" s="1" t="s">
        <v>3031</v>
      </c>
    </row>
    <row r="261" spans="1:1" x14ac:dyDescent="0.2">
      <c r="A261" s="1" t="s">
        <v>3031</v>
      </c>
    </row>
    <row r="262" spans="1:1" x14ac:dyDescent="0.2">
      <c r="A262" s="1" t="s">
        <v>3031</v>
      </c>
    </row>
    <row r="263" spans="1:1" x14ac:dyDescent="0.2">
      <c r="A263" s="1" t="s">
        <v>3031</v>
      </c>
    </row>
    <row r="264" spans="1:1" x14ac:dyDescent="0.2">
      <c r="A264" s="1" t="s">
        <v>3031</v>
      </c>
    </row>
    <row r="265" spans="1:1" x14ac:dyDescent="0.2">
      <c r="A265" s="1" t="s">
        <v>3031</v>
      </c>
    </row>
    <row r="266" spans="1:1" x14ac:dyDescent="0.2">
      <c r="A266" s="1" t="s">
        <v>3031</v>
      </c>
    </row>
    <row r="267" spans="1:1" x14ac:dyDescent="0.2">
      <c r="A267" s="1" t="s">
        <v>3031</v>
      </c>
    </row>
    <row r="268" spans="1:1" x14ac:dyDescent="0.2">
      <c r="A268" s="1" t="s">
        <v>3031</v>
      </c>
    </row>
    <row r="269" spans="1:1" x14ac:dyDescent="0.2">
      <c r="A269" s="1" t="s">
        <v>3031</v>
      </c>
    </row>
    <row r="270" spans="1:1" x14ac:dyDescent="0.2">
      <c r="A270" s="1" t="s">
        <v>3031</v>
      </c>
    </row>
    <row r="271" spans="1:1" x14ac:dyDescent="0.2">
      <c r="A271" s="1" t="s">
        <v>3031</v>
      </c>
    </row>
    <row r="272" spans="1:1" x14ac:dyDescent="0.2">
      <c r="A272" s="1" t="s">
        <v>3031</v>
      </c>
    </row>
    <row r="273" spans="1:1" x14ac:dyDescent="0.2">
      <c r="A273" s="1" t="s">
        <v>3031</v>
      </c>
    </row>
    <row r="274" spans="1:1" x14ac:dyDescent="0.2">
      <c r="A274" s="1" t="s">
        <v>3031</v>
      </c>
    </row>
    <row r="275" spans="1:1" x14ac:dyDescent="0.2">
      <c r="A275" s="1" t="s">
        <v>3031</v>
      </c>
    </row>
    <row r="276" spans="1:1" x14ac:dyDescent="0.2">
      <c r="A276" s="1" t="s">
        <v>3031</v>
      </c>
    </row>
    <row r="277" spans="1:1" x14ac:dyDescent="0.2">
      <c r="A277" s="1" t="s">
        <v>3031</v>
      </c>
    </row>
    <row r="278" spans="1:1" x14ac:dyDescent="0.2">
      <c r="A278" s="1" t="s">
        <v>3031</v>
      </c>
    </row>
    <row r="279" spans="1:1" x14ac:dyDescent="0.2">
      <c r="A279" s="1" t="s">
        <v>3031</v>
      </c>
    </row>
    <row r="280" spans="1:1" x14ac:dyDescent="0.2">
      <c r="A280" s="1" t="s">
        <v>3031</v>
      </c>
    </row>
    <row r="281" spans="1:1" x14ac:dyDescent="0.2">
      <c r="A281" s="1" t="s">
        <v>3031</v>
      </c>
    </row>
    <row r="282" spans="1:1" x14ac:dyDescent="0.2">
      <c r="A282" s="1" t="s">
        <v>3031</v>
      </c>
    </row>
    <row r="283" spans="1:1" x14ac:dyDescent="0.2">
      <c r="A283" s="1" t="s">
        <v>3031</v>
      </c>
    </row>
    <row r="284" spans="1:1" x14ac:dyDescent="0.2">
      <c r="A284" s="1" t="s">
        <v>3031</v>
      </c>
    </row>
    <row r="285" spans="1:1" x14ac:dyDescent="0.2">
      <c r="A285" s="1" t="s">
        <v>3031</v>
      </c>
    </row>
    <row r="286" spans="1:1" x14ac:dyDescent="0.2">
      <c r="A286" s="1" t="s">
        <v>3031</v>
      </c>
    </row>
    <row r="287" spans="1:1" x14ac:dyDescent="0.2">
      <c r="A287" s="1" t="s">
        <v>3031</v>
      </c>
    </row>
    <row r="288" spans="1:1" x14ac:dyDescent="0.2">
      <c r="A288" s="1" t="s">
        <v>3031</v>
      </c>
    </row>
    <row r="289" spans="1:1" x14ac:dyDescent="0.2">
      <c r="A289" s="1" t="s">
        <v>3031</v>
      </c>
    </row>
    <row r="290" spans="1:1" x14ac:dyDescent="0.2">
      <c r="A290" s="1" t="s">
        <v>3031</v>
      </c>
    </row>
    <row r="291" spans="1:1" x14ac:dyDescent="0.2">
      <c r="A291" s="1" t="s">
        <v>3031</v>
      </c>
    </row>
    <row r="292" spans="1:1" x14ac:dyDescent="0.2">
      <c r="A292" s="1" t="s">
        <v>3031</v>
      </c>
    </row>
    <row r="293" spans="1:1" x14ac:dyDescent="0.2">
      <c r="A293" s="1" t="s">
        <v>3031</v>
      </c>
    </row>
    <row r="294" spans="1:1" x14ac:dyDescent="0.2">
      <c r="A294" s="1" t="s">
        <v>3031</v>
      </c>
    </row>
    <row r="295" spans="1:1" x14ac:dyDescent="0.2">
      <c r="A295" s="1" t="s">
        <v>3031</v>
      </c>
    </row>
    <row r="296" spans="1:1" x14ac:dyDescent="0.2">
      <c r="A296" s="1" t="s">
        <v>3031</v>
      </c>
    </row>
    <row r="297" spans="1:1" x14ac:dyDescent="0.2">
      <c r="A297" s="1" t="s">
        <v>3031</v>
      </c>
    </row>
    <row r="298" spans="1:1" x14ac:dyDescent="0.2">
      <c r="A298" s="1" t="s">
        <v>3031</v>
      </c>
    </row>
    <row r="299" spans="1:1" x14ac:dyDescent="0.2">
      <c r="A299" s="1" t="s">
        <v>3031</v>
      </c>
    </row>
    <row r="300" spans="1:1" x14ac:dyDescent="0.2">
      <c r="A300" s="1" t="s">
        <v>3031</v>
      </c>
    </row>
    <row r="301" spans="1:1" x14ac:dyDescent="0.2">
      <c r="A301" s="1" t="s">
        <v>3031</v>
      </c>
    </row>
    <row r="302" spans="1:1" x14ac:dyDescent="0.2">
      <c r="A302" s="1" t="s">
        <v>3031</v>
      </c>
    </row>
    <row r="303" spans="1:1" x14ac:dyDescent="0.2">
      <c r="A303" s="1" t="s">
        <v>3031</v>
      </c>
    </row>
    <row r="304" spans="1:1" x14ac:dyDescent="0.2">
      <c r="A304" s="1" t="s">
        <v>3031</v>
      </c>
    </row>
    <row r="305" spans="1:1" x14ac:dyDescent="0.2">
      <c r="A305" s="1" t="s">
        <v>3031</v>
      </c>
    </row>
    <row r="306" spans="1:1" x14ac:dyDescent="0.2">
      <c r="A306" s="1" t="s">
        <v>3031</v>
      </c>
    </row>
    <row r="307" spans="1:1" x14ac:dyDescent="0.2">
      <c r="A307" s="1" t="s">
        <v>3031</v>
      </c>
    </row>
    <row r="308" spans="1:1" x14ac:dyDescent="0.2">
      <c r="A308" s="1" t="s">
        <v>3031</v>
      </c>
    </row>
    <row r="309" spans="1:1" x14ac:dyDescent="0.2">
      <c r="A309" s="1" t="s">
        <v>3031</v>
      </c>
    </row>
    <row r="310" spans="1:1" x14ac:dyDescent="0.2">
      <c r="A310" s="1" t="s">
        <v>3031</v>
      </c>
    </row>
    <row r="311" spans="1:1" x14ac:dyDescent="0.2">
      <c r="A311" s="1" t="s">
        <v>3031</v>
      </c>
    </row>
    <row r="312" spans="1:1" x14ac:dyDescent="0.2">
      <c r="A312" s="1" t="s">
        <v>3031</v>
      </c>
    </row>
    <row r="313" spans="1:1" x14ac:dyDescent="0.2">
      <c r="A313" s="1" t="s">
        <v>3031</v>
      </c>
    </row>
    <row r="314" spans="1:1" x14ac:dyDescent="0.2">
      <c r="A314" s="1" t="s">
        <v>3031</v>
      </c>
    </row>
    <row r="315" spans="1:1" x14ac:dyDescent="0.2">
      <c r="A315" s="1" t="s">
        <v>3031</v>
      </c>
    </row>
    <row r="316" spans="1:1" x14ac:dyDescent="0.2">
      <c r="A316" s="1" t="s">
        <v>3031</v>
      </c>
    </row>
    <row r="317" spans="1:1" x14ac:dyDescent="0.2">
      <c r="A317" s="1" t="s">
        <v>3031</v>
      </c>
    </row>
    <row r="318" spans="1:1" x14ac:dyDescent="0.2">
      <c r="A318" s="1" t="s">
        <v>3031</v>
      </c>
    </row>
    <row r="319" spans="1:1" x14ac:dyDescent="0.2">
      <c r="A319" s="1" t="s">
        <v>3031</v>
      </c>
    </row>
    <row r="320" spans="1:1" x14ac:dyDescent="0.2">
      <c r="A320" s="1" t="s">
        <v>3031</v>
      </c>
    </row>
    <row r="321" spans="1:1" x14ac:dyDescent="0.2">
      <c r="A321" s="1" t="s">
        <v>3031</v>
      </c>
    </row>
    <row r="322" spans="1:1" x14ac:dyDescent="0.2">
      <c r="A322" s="1" t="s">
        <v>3031</v>
      </c>
    </row>
    <row r="323" spans="1:1" x14ac:dyDescent="0.2">
      <c r="A323" s="1" t="s">
        <v>3031</v>
      </c>
    </row>
    <row r="324" spans="1:1" x14ac:dyDescent="0.2">
      <c r="A324" s="1" t="s">
        <v>3031</v>
      </c>
    </row>
    <row r="325" spans="1:1" x14ac:dyDescent="0.2">
      <c r="A325" s="1" t="s">
        <v>3031</v>
      </c>
    </row>
    <row r="326" spans="1:1" x14ac:dyDescent="0.2">
      <c r="A326" s="1" t="s">
        <v>3031</v>
      </c>
    </row>
    <row r="327" spans="1:1" x14ac:dyDescent="0.2">
      <c r="A327" s="1" t="s">
        <v>3031</v>
      </c>
    </row>
    <row r="328" spans="1:1" x14ac:dyDescent="0.2">
      <c r="A328" s="1" t="s">
        <v>3031</v>
      </c>
    </row>
    <row r="329" spans="1:1" x14ac:dyDescent="0.2">
      <c r="A329" s="1" t="s">
        <v>3031</v>
      </c>
    </row>
    <row r="330" spans="1:1" x14ac:dyDescent="0.2">
      <c r="A330" s="1" t="s">
        <v>3031</v>
      </c>
    </row>
    <row r="331" spans="1:1" x14ac:dyDescent="0.2">
      <c r="A331" s="1" t="s">
        <v>3031</v>
      </c>
    </row>
    <row r="332" spans="1:1" x14ac:dyDescent="0.2">
      <c r="A332" s="1" t="s">
        <v>3031</v>
      </c>
    </row>
    <row r="333" spans="1:1" x14ac:dyDescent="0.2">
      <c r="A333" s="1" t="s">
        <v>3031</v>
      </c>
    </row>
    <row r="334" spans="1:1" x14ac:dyDescent="0.2">
      <c r="A334" s="1" t="s">
        <v>3031</v>
      </c>
    </row>
    <row r="335" spans="1:1" x14ac:dyDescent="0.2">
      <c r="A335" s="1" t="s">
        <v>3031</v>
      </c>
    </row>
    <row r="336" spans="1:1" x14ac:dyDescent="0.2">
      <c r="A336" s="1" t="s">
        <v>3031</v>
      </c>
    </row>
    <row r="337" spans="1:1" x14ac:dyDescent="0.2">
      <c r="A337" s="1" t="s">
        <v>3031</v>
      </c>
    </row>
    <row r="338" spans="1:1" x14ac:dyDescent="0.2">
      <c r="A338" s="1" t="s">
        <v>3031</v>
      </c>
    </row>
    <row r="339" spans="1:1" x14ac:dyDescent="0.2">
      <c r="A339" s="1" t="s">
        <v>3031</v>
      </c>
    </row>
    <row r="340" spans="1:1" x14ac:dyDescent="0.2">
      <c r="A340" s="1" t="s">
        <v>3031</v>
      </c>
    </row>
    <row r="341" spans="1:1" x14ac:dyDescent="0.2">
      <c r="A341" s="1" t="s">
        <v>3031</v>
      </c>
    </row>
    <row r="342" spans="1:1" x14ac:dyDescent="0.2">
      <c r="A342" s="1" t="s">
        <v>3031</v>
      </c>
    </row>
    <row r="343" spans="1:1" x14ac:dyDescent="0.2">
      <c r="A343" s="1" t="s">
        <v>3031</v>
      </c>
    </row>
    <row r="344" spans="1:1" x14ac:dyDescent="0.2">
      <c r="A344" s="1" t="s">
        <v>3031</v>
      </c>
    </row>
    <row r="345" spans="1:1" x14ac:dyDescent="0.2">
      <c r="A345" s="1" t="s">
        <v>3031</v>
      </c>
    </row>
    <row r="346" spans="1:1" x14ac:dyDescent="0.2">
      <c r="A346" s="1" t="s">
        <v>3031</v>
      </c>
    </row>
    <row r="347" spans="1:1" x14ac:dyDescent="0.2">
      <c r="A347" s="1" t="s">
        <v>3031</v>
      </c>
    </row>
    <row r="348" spans="1:1" x14ac:dyDescent="0.2">
      <c r="A348" s="1" t="s">
        <v>3031</v>
      </c>
    </row>
    <row r="349" spans="1:1" x14ac:dyDescent="0.2">
      <c r="A349" s="1" t="s">
        <v>3031</v>
      </c>
    </row>
    <row r="350" spans="1:1" x14ac:dyDescent="0.2">
      <c r="A350" s="1" t="s">
        <v>3031</v>
      </c>
    </row>
    <row r="351" spans="1:1" x14ac:dyDescent="0.2">
      <c r="A351" s="1" t="s">
        <v>3031</v>
      </c>
    </row>
    <row r="352" spans="1:1" x14ac:dyDescent="0.2">
      <c r="A352" s="1" t="s">
        <v>3031</v>
      </c>
    </row>
    <row r="353" spans="1:1" x14ac:dyDescent="0.2">
      <c r="A353" s="1" t="s">
        <v>3031</v>
      </c>
    </row>
    <row r="354" spans="1:1" x14ac:dyDescent="0.2">
      <c r="A354" s="1" t="s">
        <v>3031</v>
      </c>
    </row>
    <row r="355" spans="1:1" x14ac:dyDescent="0.2">
      <c r="A355" s="1" t="s">
        <v>3031</v>
      </c>
    </row>
    <row r="356" spans="1:1" x14ac:dyDescent="0.2">
      <c r="A356" s="1" t="s">
        <v>3031</v>
      </c>
    </row>
    <row r="357" spans="1:1" x14ac:dyDescent="0.2">
      <c r="A357" s="1" t="s">
        <v>3031</v>
      </c>
    </row>
    <row r="358" spans="1:1" x14ac:dyDescent="0.2">
      <c r="A358" s="1" t="s">
        <v>3031</v>
      </c>
    </row>
    <row r="359" spans="1:1" x14ac:dyDescent="0.2">
      <c r="A359" s="1" t="s">
        <v>3031</v>
      </c>
    </row>
    <row r="360" spans="1:1" x14ac:dyDescent="0.2">
      <c r="A360" s="1" t="s">
        <v>3031</v>
      </c>
    </row>
    <row r="361" spans="1:1" x14ac:dyDescent="0.2">
      <c r="A361" s="1" t="s">
        <v>3031</v>
      </c>
    </row>
    <row r="362" spans="1:1" x14ac:dyDescent="0.2">
      <c r="A362" s="1" t="s">
        <v>3031</v>
      </c>
    </row>
    <row r="363" spans="1:1" x14ac:dyDescent="0.2">
      <c r="A363" s="1" t="s">
        <v>3031</v>
      </c>
    </row>
    <row r="364" spans="1:1" x14ac:dyDescent="0.2">
      <c r="A364" s="1" t="s">
        <v>3031</v>
      </c>
    </row>
    <row r="365" spans="1:1" x14ac:dyDescent="0.2">
      <c r="A365" s="1" t="s">
        <v>3031</v>
      </c>
    </row>
    <row r="366" spans="1:1" x14ac:dyDescent="0.2">
      <c r="A366" s="1" t="s">
        <v>3031</v>
      </c>
    </row>
    <row r="367" spans="1:1" x14ac:dyDescent="0.2">
      <c r="A367" s="1" t="s">
        <v>3031</v>
      </c>
    </row>
    <row r="368" spans="1:1" x14ac:dyDescent="0.2">
      <c r="A368" s="1" t="s">
        <v>3031</v>
      </c>
    </row>
    <row r="369" spans="1:1" x14ac:dyDescent="0.2">
      <c r="A369" s="1" t="s">
        <v>3031</v>
      </c>
    </row>
    <row r="370" spans="1:1" x14ac:dyDescent="0.2">
      <c r="A370" s="1" t="s">
        <v>3031</v>
      </c>
    </row>
    <row r="371" spans="1:1" x14ac:dyDescent="0.2">
      <c r="A371" s="1" t="s">
        <v>3031</v>
      </c>
    </row>
    <row r="372" spans="1:1" x14ac:dyDescent="0.2">
      <c r="A372" s="1" t="s">
        <v>3031</v>
      </c>
    </row>
    <row r="373" spans="1:1" x14ac:dyDescent="0.2">
      <c r="A373" s="1" t="s">
        <v>3031</v>
      </c>
    </row>
    <row r="374" spans="1:1" x14ac:dyDescent="0.2">
      <c r="A374" s="1" t="s">
        <v>3031</v>
      </c>
    </row>
    <row r="375" spans="1:1" x14ac:dyDescent="0.2">
      <c r="A375" s="1" t="s">
        <v>3031</v>
      </c>
    </row>
    <row r="376" spans="1:1" x14ac:dyDescent="0.2">
      <c r="A376" s="1" t="s">
        <v>3031</v>
      </c>
    </row>
    <row r="377" spans="1:1" x14ac:dyDescent="0.2">
      <c r="A377" s="1" t="s">
        <v>3031</v>
      </c>
    </row>
    <row r="378" spans="1:1" x14ac:dyDescent="0.2">
      <c r="A378" s="1" t="s">
        <v>3031</v>
      </c>
    </row>
    <row r="379" spans="1:1" x14ac:dyDescent="0.2">
      <c r="A379" s="1" t="s">
        <v>3031</v>
      </c>
    </row>
    <row r="380" spans="1:1" x14ac:dyDescent="0.2">
      <c r="A380" s="1" t="s">
        <v>3031</v>
      </c>
    </row>
    <row r="381" spans="1:1" x14ac:dyDescent="0.2">
      <c r="A381" s="1" t="s">
        <v>3031</v>
      </c>
    </row>
    <row r="382" spans="1:1" x14ac:dyDescent="0.2">
      <c r="A382" s="1" t="s">
        <v>3031</v>
      </c>
    </row>
    <row r="383" spans="1:1" x14ac:dyDescent="0.2">
      <c r="A383" s="1" t="s">
        <v>3031</v>
      </c>
    </row>
    <row r="384" spans="1:1" x14ac:dyDescent="0.2">
      <c r="A384" s="1" t="s">
        <v>3031</v>
      </c>
    </row>
    <row r="385" spans="1:1" x14ac:dyDescent="0.2">
      <c r="A385" s="1" t="s">
        <v>3031</v>
      </c>
    </row>
    <row r="386" spans="1:1" x14ac:dyDescent="0.2">
      <c r="A386" s="1" t="s">
        <v>3031</v>
      </c>
    </row>
    <row r="387" spans="1:1" x14ac:dyDescent="0.2">
      <c r="A387" s="1" t="s">
        <v>3031</v>
      </c>
    </row>
    <row r="388" spans="1:1" x14ac:dyDescent="0.2">
      <c r="A388" s="1" t="s">
        <v>3031</v>
      </c>
    </row>
    <row r="389" spans="1:1" x14ac:dyDescent="0.2">
      <c r="A389" s="1" t="s">
        <v>3031</v>
      </c>
    </row>
    <row r="390" spans="1:1" x14ac:dyDescent="0.2">
      <c r="A390" s="1" t="s">
        <v>3031</v>
      </c>
    </row>
    <row r="391" spans="1:1" x14ac:dyDescent="0.2">
      <c r="A391" s="1" t="s">
        <v>3031</v>
      </c>
    </row>
    <row r="392" spans="1:1" x14ac:dyDescent="0.2">
      <c r="A392" s="1" t="s">
        <v>3031</v>
      </c>
    </row>
    <row r="393" spans="1:1" x14ac:dyDescent="0.2">
      <c r="A393" s="1" t="s">
        <v>3031</v>
      </c>
    </row>
    <row r="394" spans="1:1" x14ac:dyDescent="0.2">
      <c r="A394" s="1" t="s">
        <v>3031</v>
      </c>
    </row>
    <row r="395" spans="1:1" x14ac:dyDescent="0.2">
      <c r="A395" s="1" t="s">
        <v>3031</v>
      </c>
    </row>
    <row r="396" spans="1:1" x14ac:dyDescent="0.2">
      <c r="A396" s="1" t="s">
        <v>3031</v>
      </c>
    </row>
    <row r="397" spans="1:1" x14ac:dyDescent="0.2">
      <c r="A397" s="1" t="s">
        <v>3031</v>
      </c>
    </row>
    <row r="398" spans="1:1" x14ac:dyDescent="0.2">
      <c r="A398" s="1" t="s">
        <v>3031</v>
      </c>
    </row>
    <row r="399" spans="1:1" x14ac:dyDescent="0.2">
      <c r="A399" s="1" t="s">
        <v>3031</v>
      </c>
    </row>
    <row r="400" spans="1:1" x14ac:dyDescent="0.2">
      <c r="A400" s="1" t="s">
        <v>3031</v>
      </c>
    </row>
    <row r="401" spans="1:1" x14ac:dyDescent="0.2">
      <c r="A401" s="1" t="s">
        <v>3031</v>
      </c>
    </row>
    <row r="402" spans="1:1" x14ac:dyDescent="0.2">
      <c r="A402" s="1" t="s">
        <v>3031</v>
      </c>
    </row>
    <row r="403" spans="1:1" x14ac:dyDescent="0.2">
      <c r="A403" s="1" t="s">
        <v>3031</v>
      </c>
    </row>
    <row r="404" spans="1:1" x14ac:dyDescent="0.2">
      <c r="A404" s="1" t="s">
        <v>3031</v>
      </c>
    </row>
    <row r="405" spans="1:1" x14ac:dyDescent="0.2">
      <c r="A405" s="1" t="s">
        <v>3031</v>
      </c>
    </row>
    <row r="406" spans="1:1" x14ac:dyDescent="0.2">
      <c r="A406" s="1" t="s">
        <v>3031</v>
      </c>
    </row>
    <row r="407" spans="1:1" x14ac:dyDescent="0.2">
      <c r="A407" s="1" t="s">
        <v>3031</v>
      </c>
    </row>
    <row r="408" spans="1:1" x14ac:dyDescent="0.2">
      <c r="A408" s="1" t="s">
        <v>3031</v>
      </c>
    </row>
    <row r="409" spans="1:1" x14ac:dyDescent="0.2">
      <c r="A409" s="1" t="s">
        <v>3031</v>
      </c>
    </row>
    <row r="410" spans="1:1" x14ac:dyDescent="0.2">
      <c r="A410" s="1" t="s">
        <v>3031</v>
      </c>
    </row>
    <row r="411" spans="1:1" x14ac:dyDescent="0.2">
      <c r="A411" s="1" t="s">
        <v>3031</v>
      </c>
    </row>
    <row r="412" spans="1:1" x14ac:dyDescent="0.2">
      <c r="A412" s="1" t="s">
        <v>3031</v>
      </c>
    </row>
    <row r="413" spans="1:1" x14ac:dyDescent="0.2">
      <c r="A413" s="1" t="s">
        <v>3031</v>
      </c>
    </row>
    <row r="414" spans="1:1" x14ac:dyDescent="0.2">
      <c r="A414" s="1" t="s">
        <v>3031</v>
      </c>
    </row>
    <row r="415" spans="1:1" x14ac:dyDescent="0.2">
      <c r="A415" s="1" t="s">
        <v>3031</v>
      </c>
    </row>
    <row r="416" spans="1:1" x14ac:dyDescent="0.2">
      <c r="A416" s="1" t="s">
        <v>3031</v>
      </c>
    </row>
    <row r="417" spans="1:1" x14ac:dyDescent="0.2">
      <c r="A417" s="1" t="s">
        <v>3031</v>
      </c>
    </row>
    <row r="418" spans="1:1" x14ac:dyDescent="0.2">
      <c r="A418" s="1" t="s">
        <v>3031</v>
      </c>
    </row>
    <row r="419" spans="1:1" x14ac:dyDescent="0.2">
      <c r="A419" s="1" t="s">
        <v>3031</v>
      </c>
    </row>
    <row r="420" spans="1:1" x14ac:dyDescent="0.2">
      <c r="A420" s="1" t="s">
        <v>3031</v>
      </c>
    </row>
    <row r="421" spans="1:1" x14ac:dyDescent="0.2">
      <c r="A421" s="1" t="s">
        <v>3031</v>
      </c>
    </row>
    <row r="422" spans="1:1" x14ac:dyDescent="0.2">
      <c r="A422" s="1" t="s">
        <v>3031</v>
      </c>
    </row>
    <row r="423" spans="1:1" x14ac:dyDescent="0.2">
      <c r="A423" s="1" t="s">
        <v>3031</v>
      </c>
    </row>
    <row r="424" spans="1:1" x14ac:dyDescent="0.2">
      <c r="A424" s="1" t="s">
        <v>3031</v>
      </c>
    </row>
    <row r="425" spans="1:1" x14ac:dyDescent="0.2">
      <c r="A425" s="1" t="s">
        <v>3031</v>
      </c>
    </row>
    <row r="426" spans="1:1" x14ac:dyDescent="0.2">
      <c r="A426" s="1" t="s">
        <v>3031</v>
      </c>
    </row>
    <row r="427" spans="1:1" x14ac:dyDescent="0.2">
      <c r="A427" s="1" t="s">
        <v>3031</v>
      </c>
    </row>
    <row r="428" spans="1:1" x14ac:dyDescent="0.2">
      <c r="A428" s="1" t="s">
        <v>3031</v>
      </c>
    </row>
    <row r="429" spans="1:1" x14ac:dyDescent="0.2">
      <c r="A429" s="1" t="s">
        <v>3031</v>
      </c>
    </row>
    <row r="430" spans="1:1" x14ac:dyDescent="0.2">
      <c r="A430" s="1" t="s">
        <v>3031</v>
      </c>
    </row>
    <row r="431" spans="1:1" x14ac:dyDescent="0.2">
      <c r="A431" s="1" t="s">
        <v>3031</v>
      </c>
    </row>
    <row r="432" spans="1:1" x14ac:dyDescent="0.2">
      <c r="A432" s="1" t="s">
        <v>3031</v>
      </c>
    </row>
    <row r="433" spans="1:1" x14ac:dyDescent="0.2">
      <c r="A433" s="1" t="s">
        <v>3031</v>
      </c>
    </row>
    <row r="434" spans="1:1" x14ac:dyDescent="0.2">
      <c r="A434" s="1" t="s">
        <v>3031</v>
      </c>
    </row>
    <row r="435" spans="1:1" x14ac:dyDescent="0.2">
      <c r="A435" s="1" t="s">
        <v>3031</v>
      </c>
    </row>
    <row r="436" spans="1:1" x14ac:dyDescent="0.2">
      <c r="A436" s="1" t="s">
        <v>3031</v>
      </c>
    </row>
    <row r="437" spans="1:1" x14ac:dyDescent="0.2">
      <c r="A437" s="1" t="s">
        <v>3031</v>
      </c>
    </row>
    <row r="438" spans="1:1" x14ac:dyDescent="0.2">
      <c r="A438" s="1" t="s">
        <v>3031</v>
      </c>
    </row>
    <row r="439" spans="1:1" x14ac:dyDescent="0.2">
      <c r="A439" s="1" t="s">
        <v>3031</v>
      </c>
    </row>
    <row r="440" spans="1:1" x14ac:dyDescent="0.2">
      <c r="A440" s="1" t="s">
        <v>3031</v>
      </c>
    </row>
    <row r="441" spans="1:1" x14ac:dyDescent="0.2">
      <c r="A441" s="1" t="s">
        <v>3031</v>
      </c>
    </row>
    <row r="442" spans="1:1" x14ac:dyDescent="0.2">
      <c r="A442" s="1" t="s">
        <v>3031</v>
      </c>
    </row>
    <row r="443" spans="1:1" x14ac:dyDescent="0.2">
      <c r="A443" s="1" t="s">
        <v>3031</v>
      </c>
    </row>
    <row r="444" spans="1:1" x14ac:dyDescent="0.2">
      <c r="A444" s="1" t="s">
        <v>3031</v>
      </c>
    </row>
    <row r="445" spans="1:1" x14ac:dyDescent="0.2">
      <c r="A445" s="1" t="s">
        <v>3031</v>
      </c>
    </row>
    <row r="446" spans="1:1" x14ac:dyDescent="0.2">
      <c r="A446" s="1" t="s">
        <v>3031</v>
      </c>
    </row>
    <row r="447" spans="1:1" x14ac:dyDescent="0.2">
      <c r="A447" s="1" t="s">
        <v>3031</v>
      </c>
    </row>
    <row r="448" spans="1:1" x14ac:dyDescent="0.2">
      <c r="A448" s="1" t="s">
        <v>3031</v>
      </c>
    </row>
    <row r="449" spans="1:1" x14ac:dyDescent="0.2">
      <c r="A449" s="1" t="s">
        <v>3031</v>
      </c>
    </row>
    <row r="450" spans="1:1" x14ac:dyDescent="0.2">
      <c r="A450" s="1" t="s">
        <v>3031</v>
      </c>
    </row>
    <row r="451" spans="1:1" x14ac:dyDescent="0.2">
      <c r="A451" s="1" t="s">
        <v>3031</v>
      </c>
    </row>
    <row r="452" spans="1:1" x14ac:dyDescent="0.2">
      <c r="A452" s="1" t="s">
        <v>3031</v>
      </c>
    </row>
    <row r="453" spans="1:1" x14ac:dyDescent="0.2">
      <c r="A453" s="1" t="s">
        <v>3031</v>
      </c>
    </row>
    <row r="454" spans="1:1" x14ac:dyDescent="0.2">
      <c r="A454" s="1" t="s">
        <v>3031</v>
      </c>
    </row>
    <row r="455" spans="1:1" x14ac:dyDescent="0.2">
      <c r="A455" s="1" t="s">
        <v>3031</v>
      </c>
    </row>
    <row r="456" spans="1:1" x14ac:dyDescent="0.2">
      <c r="A456" s="1" t="s">
        <v>3031</v>
      </c>
    </row>
    <row r="457" spans="1:1" x14ac:dyDescent="0.2">
      <c r="A457" s="1" t="s">
        <v>3031</v>
      </c>
    </row>
    <row r="458" spans="1:1" x14ac:dyDescent="0.2">
      <c r="A458" s="1" t="s">
        <v>3031</v>
      </c>
    </row>
    <row r="459" spans="1:1" x14ac:dyDescent="0.2">
      <c r="A459" s="1" t="s">
        <v>3031</v>
      </c>
    </row>
    <row r="460" spans="1:1" x14ac:dyDescent="0.2">
      <c r="A460" s="1" t="s">
        <v>3031</v>
      </c>
    </row>
    <row r="461" spans="1:1" x14ac:dyDescent="0.2">
      <c r="A461" s="1" t="s">
        <v>3031</v>
      </c>
    </row>
    <row r="462" spans="1:1" x14ac:dyDescent="0.2">
      <c r="A462" s="1" t="s">
        <v>3031</v>
      </c>
    </row>
    <row r="463" spans="1:1" x14ac:dyDescent="0.2">
      <c r="A463" s="1" t="s">
        <v>3031</v>
      </c>
    </row>
    <row r="464" spans="1:1" x14ac:dyDescent="0.2">
      <c r="A464" s="1" t="s">
        <v>3031</v>
      </c>
    </row>
    <row r="465" spans="1:1" x14ac:dyDescent="0.2">
      <c r="A465" s="1" t="s">
        <v>3031</v>
      </c>
    </row>
    <row r="466" spans="1:1" x14ac:dyDescent="0.2">
      <c r="A466" s="1" t="s">
        <v>3031</v>
      </c>
    </row>
    <row r="467" spans="1:1" x14ac:dyDescent="0.2">
      <c r="A467" s="1" t="s">
        <v>3031</v>
      </c>
    </row>
    <row r="468" spans="1:1" x14ac:dyDescent="0.2">
      <c r="A468" s="1" t="s">
        <v>3031</v>
      </c>
    </row>
    <row r="469" spans="1:1" x14ac:dyDescent="0.2">
      <c r="A469" s="1" t="s">
        <v>3031</v>
      </c>
    </row>
    <row r="470" spans="1:1" x14ac:dyDescent="0.2">
      <c r="A470" s="1" t="s">
        <v>3031</v>
      </c>
    </row>
    <row r="471" spans="1:1" x14ac:dyDescent="0.2">
      <c r="A471" s="1" t="s">
        <v>3031</v>
      </c>
    </row>
    <row r="472" spans="1:1" x14ac:dyDescent="0.2">
      <c r="A472" s="1" t="s">
        <v>3031</v>
      </c>
    </row>
    <row r="473" spans="1:1" x14ac:dyDescent="0.2">
      <c r="A473" s="1" t="s">
        <v>3031</v>
      </c>
    </row>
    <row r="474" spans="1:1" x14ac:dyDescent="0.2">
      <c r="A474" s="1" t="s">
        <v>3031</v>
      </c>
    </row>
    <row r="475" spans="1:1" x14ac:dyDescent="0.2">
      <c r="A475" s="1" t="s">
        <v>3031</v>
      </c>
    </row>
    <row r="476" spans="1:1" x14ac:dyDescent="0.2">
      <c r="A476" s="1" t="s">
        <v>3031</v>
      </c>
    </row>
    <row r="477" spans="1:1" x14ac:dyDescent="0.2">
      <c r="A477" s="1" t="s">
        <v>3031</v>
      </c>
    </row>
    <row r="478" spans="1:1" x14ac:dyDescent="0.2">
      <c r="A478" s="1" t="s">
        <v>3031</v>
      </c>
    </row>
    <row r="479" spans="1:1" x14ac:dyDescent="0.2">
      <c r="A479" s="1" t="s">
        <v>3031</v>
      </c>
    </row>
    <row r="480" spans="1:1" x14ac:dyDescent="0.2">
      <c r="A480" s="1" t="s">
        <v>3031</v>
      </c>
    </row>
    <row r="481" spans="1:1" x14ac:dyDescent="0.2">
      <c r="A481" s="1" t="s">
        <v>3031</v>
      </c>
    </row>
    <row r="482" spans="1:1" x14ac:dyDescent="0.2">
      <c r="A482" s="1" t="s">
        <v>3031</v>
      </c>
    </row>
    <row r="483" spans="1:1" x14ac:dyDescent="0.2">
      <c r="A483" s="1" t="s">
        <v>3031</v>
      </c>
    </row>
    <row r="484" spans="1:1" x14ac:dyDescent="0.2">
      <c r="A484" s="1" t="s">
        <v>3031</v>
      </c>
    </row>
    <row r="485" spans="1:1" x14ac:dyDescent="0.2">
      <c r="A485" s="1" t="s">
        <v>3031</v>
      </c>
    </row>
    <row r="486" spans="1:1" x14ac:dyDescent="0.2">
      <c r="A486" s="1" t="s">
        <v>3031</v>
      </c>
    </row>
    <row r="487" spans="1:1" x14ac:dyDescent="0.2">
      <c r="A487" s="1" t="s">
        <v>3031</v>
      </c>
    </row>
    <row r="488" spans="1:1" x14ac:dyDescent="0.2">
      <c r="A488" s="1" t="s">
        <v>3031</v>
      </c>
    </row>
    <row r="489" spans="1:1" x14ac:dyDescent="0.2">
      <c r="A489" s="1" t="s">
        <v>3031</v>
      </c>
    </row>
    <row r="490" spans="1:1" x14ac:dyDescent="0.2">
      <c r="A490" s="1" t="s">
        <v>3031</v>
      </c>
    </row>
    <row r="491" spans="1:1" x14ac:dyDescent="0.2">
      <c r="A491" s="1" t="s">
        <v>3031</v>
      </c>
    </row>
    <row r="492" spans="1:1" x14ac:dyDescent="0.2">
      <c r="A492" s="1" t="s">
        <v>3031</v>
      </c>
    </row>
    <row r="493" spans="1:1" x14ac:dyDescent="0.2">
      <c r="A493" s="1" t="s">
        <v>3031</v>
      </c>
    </row>
    <row r="494" spans="1:1" x14ac:dyDescent="0.2">
      <c r="A494" s="1" t="s">
        <v>3031</v>
      </c>
    </row>
    <row r="495" spans="1:1" x14ac:dyDescent="0.2">
      <c r="A495" s="1" t="s">
        <v>3031</v>
      </c>
    </row>
    <row r="496" spans="1:1" x14ac:dyDescent="0.2">
      <c r="A496" s="1" t="s">
        <v>3031</v>
      </c>
    </row>
    <row r="497" spans="1:1" x14ac:dyDescent="0.2">
      <c r="A497" s="1" t="s">
        <v>3031</v>
      </c>
    </row>
    <row r="498" spans="1:1" x14ac:dyDescent="0.2">
      <c r="A498" s="1" t="s">
        <v>3031</v>
      </c>
    </row>
    <row r="499" spans="1:1" x14ac:dyDescent="0.2">
      <c r="A499" s="1" t="s">
        <v>3031</v>
      </c>
    </row>
    <row r="500" spans="1:1" x14ac:dyDescent="0.2">
      <c r="A500" s="1" t="s">
        <v>3031</v>
      </c>
    </row>
    <row r="501" spans="1:1" x14ac:dyDescent="0.2">
      <c r="A501" s="1" t="s">
        <v>3031</v>
      </c>
    </row>
    <row r="502" spans="1:1" x14ac:dyDescent="0.2">
      <c r="A502" s="1" t="s">
        <v>3031</v>
      </c>
    </row>
    <row r="503" spans="1:1" x14ac:dyDescent="0.2">
      <c r="A503" s="1" t="s">
        <v>3031</v>
      </c>
    </row>
    <row r="504" spans="1:1" x14ac:dyDescent="0.2">
      <c r="A504" s="1" t="s">
        <v>3031</v>
      </c>
    </row>
    <row r="505" spans="1:1" x14ac:dyDescent="0.2">
      <c r="A505" s="1" t="s">
        <v>3031</v>
      </c>
    </row>
    <row r="506" spans="1:1" x14ac:dyDescent="0.2">
      <c r="A506" s="1" t="s">
        <v>3031</v>
      </c>
    </row>
    <row r="507" spans="1:1" x14ac:dyDescent="0.2">
      <c r="A507" s="1" t="s">
        <v>3031</v>
      </c>
    </row>
    <row r="508" spans="1:1" x14ac:dyDescent="0.2">
      <c r="A508" s="1" t="s">
        <v>3031</v>
      </c>
    </row>
    <row r="509" spans="1:1" x14ac:dyDescent="0.2">
      <c r="A509" s="1" t="s">
        <v>3031</v>
      </c>
    </row>
    <row r="510" spans="1:1" x14ac:dyDescent="0.2">
      <c r="A510" s="1" t="s">
        <v>3031</v>
      </c>
    </row>
    <row r="511" spans="1:1" x14ac:dyDescent="0.2">
      <c r="A511" s="1" t="s">
        <v>3031</v>
      </c>
    </row>
    <row r="512" spans="1:1" x14ac:dyDescent="0.2">
      <c r="A512" s="1" t="s">
        <v>3031</v>
      </c>
    </row>
    <row r="513" spans="1:1" x14ac:dyDescent="0.2">
      <c r="A513" s="1" t="s">
        <v>3031</v>
      </c>
    </row>
    <row r="514" spans="1:1" x14ac:dyDescent="0.2">
      <c r="A514" s="1" t="s">
        <v>3031</v>
      </c>
    </row>
    <row r="515" spans="1:1" x14ac:dyDescent="0.2">
      <c r="A515" s="1" t="s">
        <v>3031</v>
      </c>
    </row>
    <row r="516" spans="1:1" x14ac:dyDescent="0.2">
      <c r="A516" s="1" t="s">
        <v>3031</v>
      </c>
    </row>
    <row r="517" spans="1:1" x14ac:dyDescent="0.2">
      <c r="A517" s="1" t="s">
        <v>3031</v>
      </c>
    </row>
    <row r="518" spans="1:1" x14ac:dyDescent="0.2">
      <c r="A518" s="1" t="s">
        <v>3031</v>
      </c>
    </row>
    <row r="519" spans="1:1" x14ac:dyDescent="0.2">
      <c r="A519" s="1" t="s">
        <v>3031</v>
      </c>
    </row>
    <row r="520" spans="1:1" x14ac:dyDescent="0.2">
      <c r="A520" s="1" t="s">
        <v>3031</v>
      </c>
    </row>
    <row r="521" spans="1:1" x14ac:dyDescent="0.2">
      <c r="A521" s="1" t="s">
        <v>3031</v>
      </c>
    </row>
    <row r="522" spans="1:1" x14ac:dyDescent="0.2">
      <c r="A522" s="1" t="s">
        <v>3031</v>
      </c>
    </row>
    <row r="523" spans="1:1" x14ac:dyDescent="0.2">
      <c r="A523" s="1" t="s">
        <v>3031</v>
      </c>
    </row>
    <row r="524" spans="1:1" x14ac:dyDescent="0.2">
      <c r="A524" s="1" t="s">
        <v>3031</v>
      </c>
    </row>
    <row r="525" spans="1:1" x14ac:dyDescent="0.2">
      <c r="A525" s="1" t="s">
        <v>3031</v>
      </c>
    </row>
    <row r="526" spans="1:1" x14ac:dyDescent="0.2">
      <c r="A526" s="1" t="s">
        <v>3031</v>
      </c>
    </row>
    <row r="527" spans="1:1" x14ac:dyDescent="0.2">
      <c r="A527" s="1" t="s">
        <v>3031</v>
      </c>
    </row>
    <row r="528" spans="1:1" x14ac:dyDescent="0.2">
      <c r="A528" s="1" t="s">
        <v>3031</v>
      </c>
    </row>
    <row r="529" spans="1:1" x14ac:dyDescent="0.2">
      <c r="A529" s="1" t="s">
        <v>3031</v>
      </c>
    </row>
    <row r="530" spans="1:1" x14ac:dyDescent="0.2">
      <c r="A530" s="1" t="s">
        <v>3031</v>
      </c>
    </row>
    <row r="531" spans="1:1" x14ac:dyDescent="0.2">
      <c r="A531" s="1" t="s">
        <v>3031</v>
      </c>
    </row>
    <row r="532" spans="1:1" x14ac:dyDescent="0.2">
      <c r="A532" s="1" t="s">
        <v>3031</v>
      </c>
    </row>
    <row r="533" spans="1:1" x14ac:dyDescent="0.2">
      <c r="A533" s="1" t="s">
        <v>3031</v>
      </c>
    </row>
    <row r="534" spans="1:1" x14ac:dyDescent="0.2">
      <c r="A534" s="1" t="s">
        <v>3031</v>
      </c>
    </row>
    <row r="535" spans="1:1" x14ac:dyDescent="0.2">
      <c r="A535" s="1" t="s">
        <v>3031</v>
      </c>
    </row>
    <row r="536" spans="1:1" x14ac:dyDescent="0.2">
      <c r="A536" s="1" t="s">
        <v>3031</v>
      </c>
    </row>
    <row r="537" spans="1:1" x14ac:dyDescent="0.2">
      <c r="A537" s="1" t="s">
        <v>3031</v>
      </c>
    </row>
    <row r="538" spans="1:1" x14ac:dyDescent="0.2">
      <c r="A538" s="1" t="s">
        <v>3031</v>
      </c>
    </row>
    <row r="539" spans="1:1" x14ac:dyDescent="0.2">
      <c r="A539" s="1" t="s">
        <v>3031</v>
      </c>
    </row>
    <row r="540" spans="1:1" x14ac:dyDescent="0.2">
      <c r="A540" s="1" t="s">
        <v>3031</v>
      </c>
    </row>
    <row r="541" spans="1:1" x14ac:dyDescent="0.2">
      <c r="A541" s="1" t="s">
        <v>3031</v>
      </c>
    </row>
    <row r="542" spans="1:1" x14ac:dyDescent="0.2">
      <c r="A542" s="1" t="s">
        <v>3031</v>
      </c>
    </row>
    <row r="543" spans="1:1" x14ac:dyDescent="0.2">
      <c r="A543" s="1" t="s">
        <v>3031</v>
      </c>
    </row>
    <row r="544" spans="1:1" x14ac:dyDescent="0.2">
      <c r="A544" s="1" t="s">
        <v>3031</v>
      </c>
    </row>
    <row r="545" spans="1:1" x14ac:dyDescent="0.2">
      <c r="A545" s="1" t="s">
        <v>3031</v>
      </c>
    </row>
    <row r="546" spans="1:1" x14ac:dyDescent="0.2">
      <c r="A546" s="1" t="s">
        <v>3031</v>
      </c>
    </row>
    <row r="547" spans="1:1" x14ac:dyDescent="0.2">
      <c r="A547" s="1" t="s">
        <v>3031</v>
      </c>
    </row>
    <row r="548" spans="1:1" x14ac:dyDescent="0.2">
      <c r="A548" s="1" t="s">
        <v>3031</v>
      </c>
    </row>
    <row r="549" spans="1:1" x14ac:dyDescent="0.2">
      <c r="A549" s="1" t="s">
        <v>3031</v>
      </c>
    </row>
    <row r="550" spans="1:1" x14ac:dyDescent="0.2">
      <c r="A550" s="1" t="s">
        <v>3031</v>
      </c>
    </row>
    <row r="551" spans="1:1" x14ac:dyDescent="0.2">
      <c r="A551" s="1" t="s">
        <v>3031</v>
      </c>
    </row>
    <row r="552" spans="1:1" x14ac:dyDescent="0.2">
      <c r="A552" s="1" t="s">
        <v>3031</v>
      </c>
    </row>
    <row r="553" spans="1:1" x14ac:dyDescent="0.2">
      <c r="A553" s="1" t="s">
        <v>3031</v>
      </c>
    </row>
    <row r="554" spans="1:1" x14ac:dyDescent="0.2">
      <c r="A554" s="1" t="s">
        <v>3031</v>
      </c>
    </row>
    <row r="555" spans="1:1" x14ac:dyDescent="0.2">
      <c r="A555" s="1" t="s">
        <v>3031</v>
      </c>
    </row>
    <row r="556" spans="1:1" x14ac:dyDescent="0.2">
      <c r="A556" s="1" t="s">
        <v>3031</v>
      </c>
    </row>
    <row r="557" spans="1:1" x14ac:dyDescent="0.2">
      <c r="A557" s="1" t="s">
        <v>3031</v>
      </c>
    </row>
    <row r="558" spans="1:1" x14ac:dyDescent="0.2">
      <c r="A558" s="1" t="s">
        <v>3031</v>
      </c>
    </row>
    <row r="559" spans="1:1" x14ac:dyDescent="0.2">
      <c r="A559" s="1" t="s">
        <v>3031</v>
      </c>
    </row>
    <row r="560" spans="1:1" x14ac:dyDescent="0.2">
      <c r="A560" s="1" t="s">
        <v>3031</v>
      </c>
    </row>
    <row r="561" spans="1:1" x14ac:dyDescent="0.2">
      <c r="A561" s="1" t="s">
        <v>3031</v>
      </c>
    </row>
    <row r="562" spans="1:1" x14ac:dyDescent="0.2">
      <c r="A562" s="1" t="s">
        <v>3031</v>
      </c>
    </row>
    <row r="563" spans="1:1" x14ac:dyDescent="0.2">
      <c r="A563" s="1" t="s">
        <v>3031</v>
      </c>
    </row>
    <row r="564" spans="1:1" x14ac:dyDescent="0.2">
      <c r="A564" s="1" t="s">
        <v>3031</v>
      </c>
    </row>
    <row r="565" spans="1:1" x14ac:dyDescent="0.2">
      <c r="A565" s="1" t="s">
        <v>3031</v>
      </c>
    </row>
    <row r="566" spans="1:1" x14ac:dyDescent="0.2">
      <c r="A566" s="1" t="s">
        <v>3031</v>
      </c>
    </row>
    <row r="567" spans="1:1" x14ac:dyDescent="0.2">
      <c r="A567" s="1" t="s">
        <v>3031</v>
      </c>
    </row>
    <row r="568" spans="1:1" x14ac:dyDescent="0.2">
      <c r="A568" s="1" t="s">
        <v>3031</v>
      </c>
    </row>
    <row r="569" spans="1:1" x14ac:dyDescent="0.2">
      <c r="A569" s="1" t="s">
        <v>3031</v>
      </c>
    </row>
    <row r="570" spans="1:1" x14ac:dyDescent="0.2">
      <c r="A570" s="1" t="s">
        <v>3031</v>
      </c>
    </row>
    <row r="571" spans="1:1" x14ac:dyDescent="0.2">
      <c r="A571" s="1" t="s">
        <v>3031</v>
      </c>
    </row>
    <row r="572" spans="1:1" x14ac:dyDescent="0.2">
      <c r="A572" s="1" t="s">
        <v>3031</v>
      </c>
    </row>
    <row r="573" spans="1:1" x14ac:dyDescent="0.2">
      <c r="A573" s="1" t="s">
        <v>3031</v>
      </c>
    </row>
    <row r="574" spans="1:1" x14ac:dyDescent="0.2">
      <c r="A574" s="1" t="s">
        <v>3031</v>
      </c>
    </row>
    <row r="575" spans="1:1" x14ac:dyDescent="0.2">
      <c r="A575" s="1" t="s">
        <v>3031</v>
      </c>
    </row>
    <row r="576" spans="1:1" x14ac:dyDescent="0.2">
      <c r="A576" s="1" t="s">
        <v>3031</v>
      </c>
    </row>
    <row r="577" spans="1:1" x14ac:dyDescent="0.2">
      <c r="A577" s="1" t="s">
        <v>3031</v>
      </c>
    </row>
    <row r="578" spans="1:1" x14ac:dyDescent="0.2">
      <c r="A578" s="1" t="s">
        <v>3031</v>
      </c>
    </row>
    <row r="579" spans="1:1" x14ac:dyDescent="0.2">
      <c r="A579" s="1" t="s">
        <v>3031</v>
      </c>
    </row>
    <row r="580" spans="1:1" x14ac:dyDescent="0.2">
      <c r="A580" s="1" t="s">
        <v>3031</v>
      </c>
    </row>
    <row r="581" spans="1:1" x14ac:dyDescent="0.2">
      <c r="A581" s="1" t="s">
        <v>3031</v>
      </c>
    </row>
    <row r="582" spans="1:1" x14ac:dyDescent="0.2">
      <c r="A582" s="1" t="s">
        <v>3031</v>
      </c>
    </row>
    <row r="583" spans="1:1" x14ac:dyDescent="0.2">
      <c r="A583" s="1" t="s">
        <v>3031</v>
      </c>
    </row>
    <row r="584" spans="1:1" x14ac:dyDescent="0.2">
      <c r="A584" s="1" t="s">
        <v>3031</v>
      </c>
    </row>
    <row r="585" spans="1:1" x14ac:dyDescent="0.2">
      <c r="A585" s="1" t="s">
        <v>3031</v>
      </c>
    </row>
    <row r="586" spans="1:1" x14ac:dyDescent="0.2">
      <c r="A586" s="1" t="s">
        <v>3031</v>
      </c>
    </row>
    <row r="587" spans="1:1" x14ac:dyDescent="0.2">
      <c r="A587" s="1" t="s">
        <v>3031</v>
      </c>
    </row>
    <row r="588" spans="1:1" x14ac:dyDescent="0.2">
      <c r="A588" s="1" t="s">
        <v>3031</v>
      </c>
    </row>
    <row r="589" spans="1:1" x14ac:dyDescent="0.2">
      <c r="A589" s="1" t="s">
        <v>3031</v>
      </c>
    </row>
    <row r="590" spans="1:1" x14ac:dyDescent="0.2">
      <c r="A590" s="1" t="s">
        <v>3031</v>
      </c>
    </row>
    <row r="591" spans="1:1" x14ac:dyDescent="0.2">
      <c r="A591" s="1" t="s">
        <v>3031</v>
      </c>
    </row>
    <row r="592" spans="1:1" x14ac:dyDescent="0.2">
      <c r="A592" s="1" t="s">
        <v>3031</v>
      </c>
    </row>
    <row r="593" spans="1:1" x14ac:dyDescent="0.2">
      <c r="A593" s="1" t="s">
        <v>3031</v>
      </c>
    </row>
    <row r="594" spans="1:1" x14ac:dyDescent="0.2">
      <c r="A594" s="1" t="s">
        <v>3031</v>
      </c>
    </row>
    <row r="595" spans="1:1" x14ac:dyDescent="0.2">
      <c r="A595" s="1" t="s">
        <v>3031</v>
      </c>
    </row>
    <row r="596" spans="1:1" x14ac:dyDescent="0.2">
      <c r="A596" s="1" t="s">
        <v>3031</v>
      </c>
    </row>
    <row r="597" spans="1:1" x14ac:dyDescent="0.2">
      <c r="A597" s="1" t="s">
        <v>3031</v>
      </c>
    </row>
    <row r="598" spans="1:1" x14ac:dyDescent="0.2">
      <c r="A598" s="1" t="s">
        <v>3031</v>
      </c>
    </row>
    <row r="599" spans="1:1" x14ac:dyDescent="0.2">
      <c r="A599" s="1" t="s">
        <v>3031</v>
      </c>
    </row>
    <row r="600" spans="1:1" x14ac:dyDescent="0.2">
      <c r="A600" s="1" t="s">
        <v>3031</v>
      </c>
    </row>
    <row r="601" spans="1:1" x14ac:dyDescent="0.2">
      <c r="A601" s="1" t="s">
        <v>3031</v>
      </c>
    </row>
    <row r="602" spans="1:1" x14ac:dyDescent="0.2">
      <c r="A602" s="1" t="s">
        <v>3031</v>
      </c>
    </row>
    <row r="603" spans="1:1" x14ac:dyDescent="0.2">
      <c r="A603" s="1" t="s">
        <v>3031</v>
      </c>
    </row>
    <row r="604" spans="1:1" x14ac:dyDescent="0.2">
      <c r="A604" s="1" t="s">
        <v>3031</v>
      </c>
    </row>
    <row r="605" spans="1:1" x14ac:dyDescent="0.2">
      <c r="A605" s="1" t="s">
        <v>3031</v>
      </c>
    </row>
    <row r="606" spans="1:1" x14ac:dyDescent="0.2">
      <c r="A606" s="1" t="s">
        <v>3031</v>
      </c>
    </row>
    <row r="607" spans="1:1" x14ac:dyDescent="0.2">
      <c r="A607" s="1" t="s">
        <v>3031</v>
      </c>
    </row>
    <row r="608" spans="1:1" x14ac:dyDescent="0.2">
      <c r="A608" s="1" t="s">
        <v>3031</v>
      </c>
    </row>
    <row r="609" spans="1:1" x14ac:dyDescent="0.2">
      <c r="A609" s="1" t="s">
        <v>3031</v>
      </c>
    </row>
    <row r="610" spans="1:1" x14ac:dyDescent="0.2">
      <c r="A610" s="1" t="s">
        <v>3031</v>
      </c>
    </row>
    <row r="611" spans="1:1" x14ac:dyDescent="0.2">
      <c r="A611" s="1" t="s">
        <v>3031</v>
      </c>
    </row>
    <row r="612" spans="1:1" x14ac:dyDescent="0.2">
      <c r="A612" s="1" t="s">
        <v>3031</v>
      </c>
    </row>
    <row r="613" spans="1:1" x14ac:dyDescent="0.2">
      <c r="A613" s="1" t="s">
        <v>3031</v>
      </c>
    </row>
    <row r="614" spans="1:1" x14ac:dyDescent="0.2">
      <c r="A614" s="1" t="s">
        <v>3031</v>
      </c>
    </row>
    <row r="615" spans="1:1" x14ac:dyDescent="0.2">
      <c r="A615" s="1" t="s">
        <v>3031</v>
      </c>
    </row>
    <row r="616" spans="1:1" x14ac:dyDescent="0.2">
      <c r="A616" s="1" t="s">
        <v>3031</v>
      </c>
    </row>
    <row r="617" spans="1:1" x14ac:dyDescent="0.2">
      <c r="A617" s="1" t="s">
        <v>3031</v>
      </c>
    </row>
    <row r="618" spans="1:1" x14ac:dyDescent="0.2">
      <c r="A618" s="1" t="s">
        <v>3031</v>
      </c>
    </row>
    <row r="619" spans="1:1" x14ac:dyDescent="0.2">
      <c r="A619" s="1" t="s">
        <v>3031</v>
      </c>
    </row>
    <row r="620" spans="1:1" x14ac:dyDescent="0.2">
      <c r="A620" s="1" t="s">
        <v>3031</v>
      </c>
    </row>
    <row r="621" spans="1:1" x14ac:dyDescent="0.2">
      <c r="A621" s="1" t="s">
        <v>3031</v>
      </c>
    </row>
    <row r="622" spans="1:1" x14ac:dyDescent="0.2">
      <c r="A622" s="1" t="s">
        <v>3031</v>
      </c>
    </row>
    <row r="623" spans="1:1" x14ac:dyDescent="0.2">
      <c r="A623" s="1" t="s">
        <v>3031</v>
      </c>
    </row>
    <row r="624" spans="1:1" x14ac:dyDescent="0.2">
      <c r="A624" s="1" t="s">
        <v>3031</v>
      </c>
    </row>
    <row r="625" spans="1:1" x14ac:dyDescent="0.2">
      <c r="A625" s="1" t="s">
        <v>3031</v>
      </c>
    </row>
    <row r="626" spans="1:1" x14ac:dyDescent="0.2">
      <c r="A626" s="1" t="s">
        <v>3031</v>
      </c>
    </row>
    <row r="627" spans="1:1" x14ac:dyDescent="0.2">
      <c r="A627" s="1" t="s">
        <v>3031</v>
      </c>
    </row>
    <row r="628" spans="1:1" x14ac:dyDescent="0.2">
      <c r="A628" s="1" t="s">
        <v>3031</v>
      </c>
    </row>
    <row r="629" spans="1:1" x14ac:dyDescent="0.2">
      <c r="A629" s="1" t="s">
        <v>3031</v>
      </c>
    </row>
    <row r="630" spans="1:1" x14ac:dyDescent="0.2">
      <c r="A630" s="1" t="s">
        <v>3031</v>
      </c>
    </row>
    <row r="631" spans="1:1" x14ac:dyDescent="0.2">
      <c r="A631" s="1" t="s">
        <v>3031</v>
      </c>
    </row>
    <row r="632" spans="1:1" x14ac:dyDescent="0.2">
      <c r="A632" s="1" t="s">
        <v>3031</v>
      </c>
    </row>
    <row r="633" spans="1:1" x14ac:dyDescent="0.2">
      <c r="A633" s="1" t="s">
        <v>3031</v>
      </c>
    </row>
    <row r="634" spans="1:1" x14ac:dyDescent="0.2">
      <c r="A634" s="1" t="s">
        <v>3031</v>
      </c>
    </row>
    <row r="635" spans="1:1" x14ac:dyDescent="0.2">
      <c r="A635" s="1" t="s">
        <v>3031</v>
      </c>
    </row>
    <row r="636" spans="1:1" x14ac:dyDescent="0.2">
      <c r="A636" s="1" t="s">
        <v>3031</v>
      </c>
    </row>
    <row r="637" spans="1:1" x14ac:dyDescent="0.2">
      <c r="A637" s="1" t="s">
        <v>3031</v>
      </c>
    </row>
    <row r="638" spans="1:1" x14ac:dyDescent="0.2">
      <c r="A638" s="1" t="s">
        <v>3031</v>
      </c>
    </row>
    <row r="639" spans="1:1" x14ac:dyDescent="0.2">
      <c r="A639" s="1" t="s">
        <v>3031</v>
      </c>
    </row>
    <row r="640" spans="1:1" x14ac:dyDescent="0.2">
      <c r="A640" s="1" t="s">
        <v>3031</v>
      </c>
    </row>
    <row r="641" spans="1:1" x14ac:dyDescent="0.2">
      <c r="A641" s="1" t="s">
        <v>3031</v>
      </c>
    </row>
    <row r="642" spans="1:1" x14ac:dyDescent="0.2">
      <c r="A642" s="1" t="s">
        <v>3031</v>
      </c>
    </row>
    <row r="643" spans="1:1" x14ac:dyDescent="0.2">
      <c r="A643" s="1" t="s">
        <v>3031</v>
      </c>
    </row>
    <row r="644" spans="1:1" x14ac:dyDescent="0.2">
      <c r="A644" s="1" t="s">
        <v>3031</v>
      </c>
    </row>
    <row r="645" spans="1:1" x14ac:dyDescent="0.2">
      <c r="A645" s="1" t="s">
        <v>3031</v>
      </c>
    </row>
    <row r="646" spans="1:1" x14ac:dyDescent="0.2">
      <c r="A646" s="1" t="s">
        <v>3031</v>
      </c>
    </row>
    <row r="647" spans="1:1" x14ac:dyDescent="0.2">
      <c r="A647" s="1" t="s">
        <v>3031</v>
      </c>
    </row>
    <row r="648" spans="1:1" x14ac:dyDescent="0.2">
      <c r="A648" s="1" t="s">
        <v>3031</v>
      </c>
    </row>
    <row r="649" spans="1:1" x14ac:dyDescent="0.2">
      <c r="A649" s="1" t="s">
        <v>3031</v>
      </c>
    </row>
    <row r="650" spans="1:1" x14ac:dyDescent="0.2">
      <c r="A650" s="1" t="s">
        <v>3031</v>
      </c>
    </row>
    <row r="651" spans="1:1" x14ac:dyDescent="0.2">
      <c r="A651" s="1" t="s">
        <v>3031</v>
      </c>
    </row>
    <row r="652" spans="1:1" x14ac:dyDescent="0.2">
      <c r="A652" s="1" t="s">
        <v>3031</v>
      </c>
    </row>
    <row r="653" spans="1:1" x14ac:dyDescent="0.2">
      <c r="A653" s="1" t="s">
        <v>3031</v>
      </c>
    </row>
    <row r="654" spans="1:1" x14ac:dyDescent="0.2">
      <c r="A654" s="1" t="s">
        <v>3031</v>
      </c>
    </row>
    <row r="655" spans="1:1" x14ac:dyDescent="0.2">
      <c r="A655" s="1" t="s">
        <v>3031</v>
      </c>
    </row>
    <row r="656" spans="1:1" x14ac:dyDescent="0.2">
      <c r="A656" s="1" t="s">
        <v>3031</v>
      </c>
    </row>
    <row r="657" spans="1:1" x14ac:dyDescent="0.2">
      <c r="A657" s="1" t="s">
        <v>3031</v>
      </c>
    </row>
    <row r="658" spans="1:1" x14ac:dyDescent="0.2">
      <c r="A658" s="1" t="s">
        <v>3031</v>
      </c>
    </row>
    <row r="659" spans="1:1" x14ac:dyDescent="0.2">
      <c r="A659" s="1" t="s">
        <v>3031</v>
      </c>
    </row>
    <row r="660" spans="1:1" x14ac:dyDescent="0.2">
      <c r="A660" s="1" t="s">
        <v>3031</v>
      </c>
    </row>
    <row r="661" spans="1:1" x14ac:dyDescent="0.2">
      <c r="A661" s="1" t="s">
        <v>3031</v>
      </c>
    </row>
    <row r="662" spans="1:1" x14ac:dyDescent="0.2">
      <c r="A662" s="1" t="s">
        <v>3031</v>
      </c>
    </row>
    <row r="663" spans="1:1" x14ac:dyDescent="0.2">
      <c r="A663" s="1" t="s">
        <v>3031</v>
      </c>
    </row>
    <row r="664" spans="1:1" x14ac:dyDescent="0.2">
      <c r="A664" s="1" t="s">
        <v>3031</v>
      </c>
    </row>
    <row r="665" spans="1:1" x14ac:dyDescent="0.2">
      <c r="A665" s="1" t="s">
        <v>3031</v>
      </c>
    </row>
    <row r="666" spans="1:1" x14ac:dyDescent="0.2">
      <c r="A666" s="1" t="s">
        <v>3031</v>
      </c>
    </row>
    <row r="667" spans="1:1" x14ac:dyDescent="0.2">
      <c r="A667" s="1" t="s">
        <v>3031</v>
      </c>
    </row>
    <row r="668" spans="1:1" x14ac:dyDescent="0.2">
      <c r="A668" s="1" t="s">
        <v>3031</v>
      </c>
    </row>
    <row r="669" spans="1:1" x14ac:dyDescent="0.2">
      <c r="A669" s="1" t="s">
        <v>3031</v>
      </c>
    </row>
    <row r="670" spans="1:1" x14ac:dyDescent="0.2">
      <c r="A670" s="1" t="s">
        <v>3031</v>
      </c>
    </row>
    <row r="671" spans="1:1" x14ac:dyDescent="0.2">
      <c r="A671" s="1" t="s">
        <v>3031</v>
      </c>
    </row>
    <row r="672" spans="1:1" x14ac:dyDescent="0.2">
      <c r="A672" s="1" t="s">
        <v>3031</v>
      </c>
    </row>
    <row r="673" spans="1:1" x14ac:dyDescent="0.2">
      <c r="A673" s="1" t="s">
        <v>3031</v>
      </c>
    </row>
    <row r="674" spans="1:1" x14ac:dyDescent="0.2">
      <c r="A674" s="1" t="s">
        <v>3031</v>
      </c>
    </row>
    <row r="675" spans="1:1" x14ac:dyDescent="0.2">
      <c r="A675" s="1" t="s">
        <v>3031</v>
      </c>
    </row>
    <row r="676" spans="1:1" x14ac:dyDescent="0.2">
      <c r="A676" s="1" t="s">
        <v>3031</v>
      </c>
    </row>
    <row r="677" spans="1:1" x14ac:dyDescent="0.2">
      <c r="A677" s="1" t="s">
        <v>3031</v>
      </c>
    </row>
    <row r="678" spans="1:1" x14ac:dyDescent="0.2">
      <c r="A678" s="1" t="s">
        <v>3031</v>
      </c>
    </row>
    <row r="679" spans="1:1" x14ac:dyDescent="0.2">
      <c r="A679" s="1" t="s">
        <v>3031</v>
      </c>
    </row>
    <row r="680" spans="1:1" x14ac:dyDescent="0.2">
      <c r="A680" s="1" t="s">
        <v>3031</v>
      </c>
    </row>
    <row r="681" spans="1:1" x14ac:dyDescent="0.2">
      <c r="A681" s="1" t="s">
        <v>3031</v>
      </c>
    </row>
    <row r="682" spans="1:1" x14ac:dyDescent="0.2">
      <c r="A682" s="1" t="s">
        <v>3031</v>
      </c>
    </row>
    <row r="683" spans="1:1" x14ac:dyDescent="0.2">
      <c r="A683" s="1" t="s">
        <v>3031</v>
      </c>
    </row>
    <row r="684" spans="1:1" x14ac:dyDescent="0.2">
      <c r="A684" s="1" t="s">
        <v>3031</v>
      </c>
    </row>
    <row r="685" spans="1:1" x14ac:dyDescent="0.2">
      <c r="A685" s="1" t="s">
        <v>3031</v>
      </c>
    </row>
    <row r="686" spans="1:1" x14ac:dyDescent="0.2">
      <c r="A686" s="1" t="s">
        <v>3031</v>
      </c>
    </row>
    <row r="687" spans="1:1" x14ac:dyDescent="0.2">
      <c r="A687" s="1" t="s">
        <v>3031</v>
      </c>
    </row>
    <row r="688" spans="1:1" x14ac:dyDescent="0.2">
      <c r="A688" s="1" t="s">
        <v>3031</v>
      </c>
    </row>
    <row r="689" spans="1:1" x14ac:dyDescent="0.2">
      <c r="A689" s="1" t="s">
        <v>3031</v>
      </c>
    </row>
    <row r="690" spans="1:1" x14ac:dyDescent="0.2">
      <c r="A690" s="1" t="s">
        <v>3031</v>
      </c>
    </row>
    <row r="691" spans="1:1" x14ac:dyDescent="0.2">
      <c r="A691" s="1" t="s">
        <v>3031</v>
      </c>
    </row>
    <row r="692" spans="1:1" x14ac:dyDescent="0.2">
      <c r="A692" s="1" t="s">
        <v>3031</v>
      </c>
    </row>
    <row r="693" spans="1:1" x14ac:dyDescent="0.2">
      <c r="A693" s="1" t="s">
        <v>3031</v>
      </c>
    </row>
    <row r="694" spans="1:1" x14ac:dyDescent="0.2">
      <c r="A694" s="1" t="s">
        <v>3031</v>
      </c>
    </row>
    <row r="695" spans="1:1" x14ac:dyDescent="0.2">
      <c r="A695" s="1" t="s">
        <v>3031</v>
      </c>
    </row>
    <row r="696" spans="1:1" x14ac:dyDescent="0.2">
      <c r="A696" s="1" t="s">
        <v>3031</v>
      </c>
    </row>
    <row r="697" spans="1:1" x14ac:dyDescent="0.2">
      <c r="A697" s="1" t="s">
        <v>3031</v>
      </c>
    </row>
    <row r="698" spans="1:1" x14ac:dyDescent="0.2">
      <c r="A698" s="1" t="s">
        <v>3031</v>
      </c>
    </row>
    <row r="699" spans="1:1" x14ac:dyDescent="0.2">
      <c r="A699" s="1" t="s">
        <v>3031</v>
      </c>
    </row>
    <row r="700" spans="1:1" x14ac:dyDescent="0.2">
      <c r="A700" s="1" t="s">
        <v>3031</v>
      </c>
    </row>
    <row r="701" spans="1:1" x14ac:dyDescent="0.2">
      <c r="A701" s="1" t="s">
        <v>3031</v>
      </c>
    </row>
    <row r="702" spans="1:1" x14ac:dyDescent="0.2">
      <c r="A702" s="1" t="s">
        <v>3031</v>
      </c>
    </row>
    <row r="703" spans="1:1" x14ac:dyDescent="0.2">
      <c r="A703" s="1" t="s">
        <v>3031</v>
      </c>
    </row>
    <row r="704" spans="1:1" x14ac:dyDescent="0.2">
      <c r="A704" s="1" t="s">
        <v>3031</v>
      </c>
    </row>
    <row r="705" spans="1:1" x14ac:dyDescent="0.2">
      <c r="A705" s="1" t="s">
        <v>3031</v>
      </c>
    </row>
    <row r="706" spans="1:1" x14ac:dyDescent="0.2">
      <c r="A706" s="1" t="s">
        <v>3031</v>
      </c>
    </row>
    <row r="707" spans="1:1" x14ac:dyDescent="0.2">
      <c r="A707" s="1" t="s">
        <v>3031</v>
      </c>
    </row>
    <row r="708" spans="1:1" x14ac:dyDescent="0.2">
      <c r="A708" s="1" t="s">
        <v>3031</v>
      </c>
    </row>
    <row r="709" spans="1:1" x14ac:dyDescent="0.2">
      <c r="A709" s="1" t="s">
        <v>3031</v>
      </c>
    </row>
    <row r="710" spans="1:1" x14ac:dyDescent="0.2">
      <c r="A710" s="1" t="s">
        <v>3031</v>
      </c>
    </row>
    <row r="711" spans="1:1" x14ac:dyDescent="0.2">
      <c r="A711" s="1" t="s">
        <v>3031</v>
      </c>
    </row>
    <row r="712" spans="1:1" x14ac:dyDescent="0.2">
      <c r="A712" s="1" t="s">
        <v>3031</v>
      </c>
    </row>
    <row r="713" spans="1:1" x14ac:dyDescent="0.2">
      <c r="A713" s="1" t="s">
        <v>3031</v>
      </c>
    </row>
    <row r="714" spans="1:1" x14ac:dyDescent="0.2">
      <c r="A714" s="1" t="s">
        <v>3031</v>
      </c>
    </row>
    <row r="715" spans="1:1" x14ac:dyDescent="0.2">
      <c r="A715" s="1" t="s">
        <v>3031</v>
      </c>
    </row>
    <row r="716" spans="1:1" x14ac:dyDescent="0.2">
      <c r="A716" s="1" t="s">
        <v>3031</v>
      </c>
    </row>
    <row r="717" spans="1:1" x14ac:dyDescent="0.2">
      <c r="A717" s="1" t="s">
        <v>3031</v>
      </c>
    </row>
    <row r="718" spans="1:1" x14ac:dyDescent="0.2">
      <c r="A718" s="1" t="s">
        <v>3031</v>
      </c>
    </row>
    <row r="719" spans="1:1" x14ac:dyDescent="0.2">
      <c r="A719" s="1" t="s">
        <v>3031</v>
      </c>
    </row>
    <row r="720" spans="1:1" x14ac:dyDescent="0.2">
      <c r="A720" s="1" t="s">
        <v>3031</v>
      </c>
    </row>
    <row r="721" spans="1:1" x14ac:dyDescent="0.2">
      <c r="A721" s="1" t="s">
        <v>3031</v>
      </c>
    </row>
    <row r="722" spans="1:1" x14ac:dyDescent="0.2">
      <c r="A722" s="1" t="s">
        <v>3031</v>
      </c>
    </row>
    <row r="723" spans="1:1" x14ac:dyDescent="0.2">
      <c r="A723" s="1" t="s">
        <v>3031</v>
      </c>
    </row>
    <row r="724" spans="1:1" x14ac:dyDescent="0.2">
      <c r="A724" s="1" t="s">
        <v>3031</v>
      </c>
    </row>
    <row r="725" spans="1:1" x14ac:dyDescent="0.2">
      <c r="A725" s="1" t="s">
        <v>3031</v>
      </c>
    </row>
    <row r="726" spans="1:1" x14ac:dyDescent="0.2">
      <c r="A726" s="1" t="s">
        <v>3031</v>
      </c>
    </row>
    <row r="727" spans="1:1" x14ac:dyDescent="0.2">
      <c r="A727" s="1" t="s">
        <v>3031</v>
      </c>
    </row>
    <row r="728" spans="1:1" x14ac:dyDescent="0.2">
      <c r="A728" s="1" t="s">
        <v>3031</v>
      </c>
    </row>
    <row r="729" spans="1:1" x14ac:dyDescent="0.2">
      <c r="A729" s="1" t="s">
        <v>3031</v>
      </c>
    </row>
    <row r="730" spans="1:1" x14ac:dyDescent="0.2">
      <c r="A730" s="1" t="s">
        <v>3031</v>
      </c>
    </row>
    <row r="731" spans="1:1" x14ac:dyDescent="0.2">
      <c r="A731" s="1" t="s">
        <v>3031</v>
      </c>
    </row>
    <row r="732" spans="1:1" x14ac:dyDescent="0.2">
      <c r="A732" s="1" t="s">
        <v>3031</v>
      </c>
    </row>
    <row r="733" spans="1:1" x14ac:dyDescent="0.2">
      <c r="A733" s="1" t="s">
        <v>3031</v>
      </c>
    </row>
    <row r="734" spans="1:1" x14ac:dyDescent="0.2">
      <c r="A734" s="1" t="s">
        <v>3031</v>
      </c>
    </row>
    <row r="735" spans="1:1" x14ac:dyDescent="0.2">
      <c r="A735" s="1" t="s">
        <v>3031</v>
      </c>
    </row>
    <row r="736" spans="1:1" x14ac:dyDescent="0.2">
      <c r="A736" s="1" t="s">
        <v>3031</v>
      </c>
    </row>
    <row r="737" spans="1:1" x14ac:dyDescent="0.2">
      <c r="A737" s="1" t="s">
        <v>3031</v>
      </c>
    </row>
    <row r="738" spans="1:1" x14ac:dyDescent="0.2">
      <c r="A738" s="1" t="s">
        <v>3031</v>
      </c>
    </row>
    <row r="739" spans="1:1" x14ac:dyDescent="0.2">
      <c r="A739" s="1" t="s">
        <v>3031</v>
      </c>
    </row>
    <row r="740" spans="1:1" x14ac:dyDescent="0.2">
      <c r="A740" s="1" t="s">
        <v>3031</v>
      </c>
    </row>
    <row r="741" spans="1:1" x14ac:dyDescent="0.2">
      <c r="A741" s="1" t="s">
        <v>3031</v>
      </c>
    </row>
    <row r="742" spans="1:1" x14ac:dyDescent="0.2">
      <c r="A742" s="1" t="s">
        <v>3031</v>
      </c>
    </row>
    <row r="743" spans="1:1" x14ac:dyDescent="0.2">
      <c r="A743" s="1" t="s">
        <v>3031</v>
      </c>
    </row>
    <row r="744" spans="1:1" x14ac:dyDescent="0.2">
      <c r="A744" s="1" t="s">
        <v>3031</v>
      </c>
    </row>
    <row r="745" spans="1:1" x14ac:dyDescent="0.2">
      <c r="A745" s="1" t="s">
        <v>3031</v>
      </c>
    </row>
    <row r="746" spans="1:1" x14ac:dyDescent="0.2">
      <c r="A746" s="1" t="s">
        <v>3031</v>
      </c>
    </row>
    <row r="747" spans="1:1" x14ac:dyDescent="0.2">
      <c r="A747" s="1" t="s">
        <v>3031</v>
      </c>
    </row>
    <row r="748" spans="1:1" x14ac:dyDescent="0.2">
      <c r="A748" s="1" t="s">
        <v>3031</v>
      </c>
    </row>
    <row r="749" spans="1:1" x14ac:dyDescent="0.2">
      <c r="A749" s="1" t="s">
        <v>3031</v>
      </c>
    </row>
    <row r="750" spans="1:1" x14ac:dyDescent="0.2">
      <c r="A750" s="1" t="s">
        <v>3031</v>
      </c>
    </row>
    <row r="751" spans="1:1" x14ac:dyDescent="0.2">
      <c r="A751" s="1" t="s">
        <v>3031</v>
      </c>
    </row>
    <row r="752" spans="1:1" x14ac:dyDescent="0.2">
      <c r="A752" s="1" t="s">
        <v>3031</v>
      </c>
    </row>
    <row r="753" spans="1:1" x14ac:dyDescent="0.2">
      <c r="A753" s="1" t="s">
        <v>3031</v>
      </c>
    </row>
    <row r="754" spans="1:1" x14ac:dyDescent="0.2">
      <c r="A754" s="1" t="s">
        <v>3031</v>
      </c>
    </row>
    <row r="755" spans="1:1" x14ac:dyDescent="0.2">
      <c r="A755" s="1" t="s">
        <v>3031</v>
      </c>
    </row>
    <row r="756" spans="1:1" x14ac:dyDescent="0.2">
      <c r="A756" s="1" t="s">
        <v>3031</v>
      </c>
    </row>
    <row r="757" spans="1:1" x14ac:dyDescent="0.2">
      <c r="A757" s="1" t="s">
        <v>3031</v>
      </c>
    </row>
    <row r="758" spans="1:1" x14ac:dyDescent="0.2">
      <c r="A758" s="1" t="s">
        <v>3031</v>
      </c>
    </row>
    <row r="759" spans="1:1" x14ac:dyDescent="0.2">
      <c r="A759" s="1" t="s">
        <v>3031</v>
      </c>
    </row>
    <row r="760" spans="1:1" x14ac:dyDescent="0.2">
      <c r="A760" s="1" t="s">
        <v>3031</v>
      </c>
    </row>
    <row r="761" spans="1:1" x14ac:dyDescent="0.2">
      <c r="A761" s="1" t="s">
        <v>3031</v>
      </c>
    </row>
    <row r="762" spans="1:1" x14ac:dyDescent="0.2">
      <c r="A762" s="1" t="s">
        <v>3031</v>
      </c>
    </row>
    <row r="763" spans="1:1" x14ac:dyDescent="0.2">
      <c r="A763" s="1" t="s">
        <v>3031</v>
      </c>
    </row>
    <row r="764" spans="1:1" x14ac:dyDescent="0.2">
      <c r="A764" s="1" t="s">
        <v>3031</v>
      </c>
    </row>
    <row r="765" spans="1:1" x14ac:dyDescent="0.2">
      <c r="A765" s="1" t="s">
        <v>3031</v>
      </c>
    </row>
    <row r="766" spans="1:1" x14ac:dyDescent="0.2">
      <c r="A766" s="1" t="s">
        <v>3031</v>
      </c>
    </row>
    <row r="767" spans="1:1" x14ac:dyDescent="0.2">
      <c r="A767" s="1" t="s">
        <v>3031</v>
      </c>
    </row>
    <row r="768" spans="1:1" x14ac:dyDescent="0.2">
      <c r="A768" s="1" t="s">
        <v>3031</v>
      </c>
    </row>
    <row r="769" spans="1:1" x14ac:dyDescent="0.2">
      <c r="A769" s="1" t="s">
        <v>3031</v>
      </c>
    </row>
    <row r="770" spans="1:1" x14ac:dyDescent="0.2">
      <c r="A770" s="1" t="s">
        <v>3031</v>
      </c>
    </row>
    <row r="771" spans="1:1" x14ac:dyDescent="0.2">
      <c r="A771" s="1" t="s">
        <v>3031</v>
      </c>
    </row>
    <row r="772" spans="1:1" x14ac:dyDescent="0.2">
      <c r="A772" s="1" t="s">
        <v>3031</v>
      </c>
    </row>
    <row r="773" spans="1:1" x14ac:dyDescent="0.2">
      <c r="A773" s="1" t="s">
        <v>3031</v>
      </c>
    </row>
    <row r="774" spans="1:1" x14ac:dyDescent="0.2">
      <c r="A774" s="1" t="s">
        <v>3031</v>
      </c>
    </row>
    <row r="775" spans="1:1" x14ac:dyDescent="0.2">
      <c r="A775" s="1" t="s">
        <v>3031</v>
      </c>
    </row>
    <row r="776" spans="1:1" x14ac:dyDescent="0.2">
      <c r="A776" s="1" t="s">
        <v>3031</v>
      </c>
    </row>
    <row r="777" spans="1:1" x14ac:dyDescent="0.2">
      <c r="A777" s="1" t="s">
        <v>3031</v>
      </c>
    </row>
    <row r="778" spans="1:1" x14ac:dyDescent="0.2">
      <c r="A778" s="1" t="s">
        <v>3031</v>
      </c>
    </row>
    <row r="779" spans="1:1" x14ac:dyDescent="0.2">
      <c r="A779" s="1" t="s">
        <v>3031</v>
      </c>
    </row>
    <row r="780" spans="1:1" x14ac:dyDescent="0.2">
      <c r="A780" s="1" t="s">
        <v>3031</v>
      </c>
    </row>
    <row r="781" spans="1:1" x14ac:dyDescent="0.2">
      <c r="A781" s="1" t="s">
        <v>3031</v>
      </c>
    </row>
    <row r="782" spans="1:1" x14ac:dyDescent="0.2">
      <c r="A782" s="1" t="s">
        <v>3031</v>
      </c>
    </row>
    <row r="783" spans="1:1" x14ac:dyDescent="0.2">
      <c r="A783" s="1" t="s">
        <v>3031</v>
      </c>
    </row>
    <row r="784" spans="1:1" x14ac:dyDescent="0.2">
      <c r="A784" s="1" t="s">
        <v>3031</v>
      </c>
    </row>
    <row r="785" spans="1:1" x14ac:dyDescent="0.2">
      <c r="A785" s="1" t="s">
        <v>3031</v>
      </c>
    </row>
    <row r="786" spans="1:1" x14ac:dyDescent="0.2">
      <c r="A786" s="1" t="s">
        <v>3031</v>
      </c>
    </row>
    <row r="787" spans="1:1" x14ac:dyDescent="0.2">
      <c r="A787" s="1" t="s">
        <v>3031</v>
      </c>
    </row>
    <row r="788" spans="1:1" x14ac:dyDescent="0.2">
      <c r="A788" s="1" t="s">
        <v>3031</v>
      </c>
    </row>
    <row r="789" spans="1:1" x14ac:dyDescent="0.2">
      <c r="A789" s="1" t="s">
        <v>3031</v>
      </c>
    </row>
    <row r="790" spans="1:1" x14ac:dyDescent="0.2">
      <c r="A790" s="1" t="s">
        <v>3031</v>
      </c>
    </row>
    <row r="791" spans="1:1" x14ac:dyDescent="0.2">
      <c r="A791" s="1" t="s">
        <v>3031</v>
      </c>
    </row>
    <row r="792" spans="1:1" x14ac:dyDescent="0.2">
      <c r="A792" s="1" t="s">
        <v>3031</v>
      </c>
    </row>
    <row r="793" spans="1:1" x14ac:dyDescent="0.2">
      <c r="A793" s="1" t="s">
        <v>3031</v>
      </c>
    </row>
    <row r="794" spans="1:1" x14ac:dyDescent="0.2">
      <c r="A794" s="1" t="s">
        <v>3031</v>
      </c>
    </row>
    <row r="795" spans="1:1" x14ac:dyDescent="0.2">
      <c r="A795" s="1" t="s">
        <v>3031</v>
      </c>
    </row>
    <row r="796" spans="1:1" x14ac:dyDescent="0.2">
      <c r="A796" s="1" t="s">
        <v>3031</v>
      </c>
    </row>
    <row r="797" spans="1:1" x14ac:dyDescent="0.2">
      <c r="A797" s="1" t="s">
        <v>3031</v>
      </c>
    </row>
    <row r="798" spans="1:1" x14ac:dyDescent="0.2">
      <c r="A798" s="1" t="s">
        <v>3031</v>
      </c>
    </row>
    <row r="799" spans="1:1" x14ac:dyDescent="0.2">
      <c r="A799" s="1" t="s">
        <v>3031</v>
      </c>
    </row>
    <row r="800" spans="1:1" x14ac:dyDescent="0.2">
      <c r="A800" s="1" t="s">
        <v>3031</v>
      </c>
    </row>
    <row r="801" spans="1:1" x14ac:dyDescent="0.2">
      <c r="A801" s="1" t="s">
        <v>3031</v>
      </c>
    </row>
    <row r="802" spans="1:1" x14ac:dyDescent="0.2">
      <c r="A802" s="1" t="s">
        <v>3031</v>
      </c>
    </row>
    <row r="803" spans="1:1" x14ac:dyDescent="0.2">
      <c r="A803" s="1" t="s">
        <v>3031</v>
      </c>
    </row>
    <row r="804" spans="1:1" x14ac:dyDescent="0.2">
      <c r="A804" s="1" t="s">
        <v>3031</v>
      </c>
    </row>
    <row r="805" spans="1:1" x14ac:dyDescent="0.2">
      <c r="A805" s="1" t="s">
        <v>3031</v>
      </c>
    </row>
    <row r="806" spans="1:1" x14ac:dyDescent="0.2">
      <c r="A806" s="1" t="s">
        <v>3031</v>
      </c>
    </row>
    <row r="807" spans="1:1" x14ac:dyDescent="0.2">
      <c r="A807" s="1" t="s">
        <v>3031</v>
      </c>
    </row>
    <row r="808" spans="1:1" x14ac:dyDescent="0.2">
      <c r="A808" s="1" t="s">
        <v>3031</v>
      </c>
    </row>
    <row r="809" spans="1:1" x14ac:dyDescent="0.2">
      <c r="A809" s="1" t="s">
        <v>3031</v>
      </c>
    </row>
    <row r="810" spans="1:1" x14ac:dyDescent="0.2">
      <c r="A810" s="1" t="s">
        <v>3031</v>
      </c>
    </row>
    <row r="811" spans="1:1" x14ac:dyDescent="0.2">
      <c r="A811" s="1" t="s">
        <v>3031</v>
      </c>
    </row>
    <row r="812" spans="1:1" x14ac:dyDescent="0.2">
      <c r="A812" s="1" t="s">
        <v>3031</v>
      </c>
    </row>
    <row r="813" spans="1:1" x14ac:dyDescent="0.2">
      <c r="A813" s="1" t="s">
        <v>3031</v>
      </c>
    </row>
    <row r="814" spans="1:1" x14ac:dyDescent="0.2">
      <c r="A814" s="1" t="s">
        <v>3031</v>
      </c>
    </row>
    <row r="815" spans="1:1" x14ac:dyDescent="0.2">
      <c r="A815" s="1" t="s">
        <v>3031</v>
      </c>
    </row>
    <row r="816" spans="1:1" x14ac:dyDescent="0.2">
      <c r="A816" s="1" t="s">
        <v>3031</v>
      </c>
    </row>
    <row r="817" spans="1:1" x14ac:dyDescent="0.2">
      <c r="A817" s="1" t="s">
        <v>3031</v>
      </c>
    </row>
    <row r="818" spans="1:1" x14ac:dyDescent="0.2">
      <c r="A818" s="1" t="s">
        <v>3031</v>
      </c>
    </row>
    <row r="819" spans="1:1" x14ac:dyDescent="0.2">
      <c r="A819" s="1" t="s">
        <v>3031</v>
      </c>
    </row>
    <row r="820" spans="1:1" x14ac:dyDescent="0.2">
      <c r="A820" s="1" t="s">
        <v>3031</v>
      </c>
    </row>
    <row r="821" spans="1:1" x14ac:dyDescent="0.2">
      <c r="A821" s="1" t="s">
        <v>3031</v>
      </c>
    </row>
    <row r="822" spans="1:1" x14ac:dyDescent="0.2">
      <c r="A822" s="1" t="s">
        <v>3031</v>
      </c>
    </row>
    <row r="823" spans="1:1" x14ac:dyDescent="0.2">
      <c r="A823" s="1" t="s">
        <v>3031</v>
      </c>
    </row>
    <row r="824" spans="1:1" x14ac:dyDescent="0.2">
      <c r="A824" s="1" t="s">
        <v>3031</v>
      </c>
    </row>
    <row r="825" spans="1:1" x14ac:dyDescent="0.2">
      <c r="A825" s="1" t="s">
        <v>3031</v>
      </c>
    </row>
    <row r="826" spans="1:1" x14ac:dyDescent="0.2">
      <c r="A826" s="1" t="s">
        <v>3031</v>
      </c>
    </row>
    <row r="827" spans="1:1" x14ac:dyDescent="0.2">
      <c r="A827" s="1" t="s">
        <v>3031</v>
      </c>
    </row>
    <row r="828" spans="1:1" x14ac:dyDescent="0.2">
      <c r="A828" s="1" t="s">
        <v>3031</v>
      </c>
    </row>
    <row r="829" spans="1:1" x14ac:dyDescent="0.2">
      <c r="A829" s="1" t="s">
        <v>3031</v>
      </c>
    </row>
    <row r="830" spans="1:1" x14ac:dyDescent="0.2">
      <c r="A830" s="1" t="s">
        <v>3031</v>
      </c>
    </row>
    <row r="831" spans="1:1" x14ac:dyDescent="0.2">
      <c r="A831" s="1" t="s">
        <v>3031</v>
      </c>
    </row>
    <row r="832" spans="1:1" x14ac:dyDescent="0.2">
      <c r="A832" s="1" t="s">
        <v>3031</v>
      </c>
    </row>
    <row r="833" spans="1:1" x14ac:dyDescent="0.2">
      <c r="A833" s="1" t="s">
        <v>3031</v>
      </c>
    </row>
    <row r="834" spans="1:1" x14ac:dyDescent="0.2">
      <c r="A834" s="1" t="s">
        <v>3031</v>
      </c>
    </row>
    <row r="835" spans="1:1" x14ac:dyDescent="0.2">
      <c r="A835" s="1" t="s">
        <v>3031</v>
      </c>
    </row>
    <row r="836" spans="1:1" x14ac:dyDescent="0.2">
      <c r="A836" s="1" t="s">
        <v>3031</v>
      </c>
    </row>
    <row r="837" spans="1:1" x14ac:dyDescent="0.2">
      <c r="A837" s="1" t="s">
        <v>3031</v>
      </c>
    </row>
    <row r="838" spans="1:1" x14ac:dyDescent="0.2">
      <c r="A838" s="1" t="s">
        <v>3031</v>
      </c>
    </row>
    <row r="839" spans="1:1" x14ac:dyDescent="0.2">
      <c r="A839" s="1" t="s">
        <v>3031</v>
      </c>
    </row>
    <row r="840" spans="1:1" x14ac:dyDescent="0.2">
      <c r="A840" s="1" t="s">
        <v>3031</v>
      </c>
    </row>
    <row r="841" spans="1:1" x14ac:dyDescent="0.2">
      <c r="A841" s="1" t="s">
        <v>3031</v>
      </c>
    </row>
    <row r="842" spans="1:1" x14ac:dyDescent="0.2">
      <c r="A842" s="1" t="s">
        <v>3031</v>
      </c>
    </row>
    <row r="843" spans="1:1" x14ac:dyDescent="0.2">
      <c r="A843" s="1" t="s">
        <v>3031</v>
      </c>
    </row>
    <row r="844" spans="1:1" x14ac:dyDescent="0.2">
      <c r="A844" s="1" t="s">
        <v>3031</v>
      </c>
    </row>
    <row r="845" spans="1:1" x14ac:dyDescent="0.2">
      <c r="A845" s="1" t="s">
        <v>3031</v>
      </c>
    </row>
    <row r="846" spans="1:1" x14ac:dyDescent="0.2">
      <c r="A846" s="1" t="s">
        <v>3031</v>
      </c>
    </row>
    <row r="847" spans="1:1" x14ac:dyDescent="0.2">
      <c r="A847" s="1" t="s">
        <v>3031</v>
      </c>
    </row>
    <row r="848" spans="1:1" x14ac:dyDescent="0.2">
      <c r="A848" s="1" t="s">
        <v>3031</v>
      </c>
    </row>
    <row r="849" spans="1:1" x14ac:dyDescent="0.2">
      <c r="A849" s="1" t="s">
        <v>3031</v>
      </c>
    </row>
    <row r="850" spans="1:1" x14ac:dyDescent="0.2">
      <c r="A850" s="1" t="s">
        <v>3031</v>
      </c>
    </row>
    <row r="851" spans="1:1" x14ac:dyDescent="0.2">
      <c r="A851" s="1" t="s">
        <v>3031</v>
      </c>
    </row>
    <row r="852" spans="1:1" x14ac:dyDescent="0.2">
      <c r="A852" s="1" t="s">
        <v>3031</v>
      </c>
    </row>
    <row r="853" spans="1:1" x14ac:dyDescent="0.2">
      <c r="A853" s="1" t="s">
        <v>3031</v>
      </c>
    </row>
    <row r="854" spans="1:1" x14ac:dyDescent="0.2">
      <c r="A854" s="1" t="s">
        <v>3031</v>
      </c>
    </row>
    <row r="855" spans="1:1" x14ac:dyDescent="0.2">
      <c r="A855" s="1" t="s">
        <v>3031</v>
      </c>
    </row>
    <row r="856" spans="1:1" x14ac:dyDescent="0.2">
      <c r="A856" s="1" t="s">
        <v>3031</v>
      </c>
    </row>
    <row r="857" spans="1:1" x14ac:dyDescent="0.2">
      <c r="A857" s="1" t="s">
        <v>3031</v>
      </c>
    </row>
    <row r="858" spans="1:1" x14ac:dyDescent="0.2">
      <c r="A858" s="1" t="s">
        <v>3031</v>
      </c>
    </row>
    <row r="859" spans="1:1" x14ac:dyDescent="0.2">
      <c r="A859" s="1" t="s">
        <v>3031</v>
      </c>
    </row>
    <row r="860" spans="1:1" x14ac:dyDescent="0.2">
      <c r="A860" s="1" t="s">
        <v>3031</v>
      </c>
    </row>
    <row r="861" spans="1:1" x14ac:dyDescent="0.2">
      <c r="A861" s="1" t="s">
        <v>3031</v>
      </c>
    </row>
    <row r="862" spans="1:1" x14ac:dyDescent="0.2">
      <c r="A862" s="1" t="s">
        <v>3031</v>
      </c>
    </row>
    <row r="863" spans="1:1" x14ac:dyDescent="0.2">
      <c r="A863" s="1" t="s">
        <v>3031</v>
      </c>
    </row>
    <row r="864" spans="1:1" x14ac:dyDescent="0.2">
      <c r="A864" s="1" t="s">
        <v>3031</v>
      </c>
    </row>
    <row r="865" spans="1:1" x14ac:dyDescent="0.2">
      <c r="A865" s="1" t="s">
        <v>3031</v>
      </c>
    </row>
    <row r="866" spans="1:1" x14ac:dyDescent="0.2">
      <c r="A866" s="1" t="s">
        <v>3031</v>
      </c>
    </row>
    <row r="867" spans="1:1" x14ac:dyDescent="0.2">
      <c r="A867" s="1" t="s">
        <v>3031</v>
      </c>
    </row>
    <row r="868" spans="1:1" x14ac:dyDescent="0.2">
      <c r="A868" s="1" t="s">
        <v>3031</v>
      </c>
    </row>
    <row r="869" spans="1:1" x14ac:dyDescent="0.2">
      <c r="A869" s="1" t="s">
        <v>3031</v>
      </c>
    </row>
    <row r="870" spans="1:1" x14ac:dyDescent="0.2">
      <c r="A870" s="1" t="s">
        <v>3031</v>
      </c>
    </row>
    <row r="871" spans="1:1" x14ac:dyDescent="0.2">
      <c r="A871" s="1" t="s">
        <v>3031</v>
      </c>
    </row>
    <row r="872" spans="1:1" x14ac:dyDescent="0.2">
      <c r="A872" s="1" t="s">
        <v>3031</v>
      </c>
    </row>
    <row r="873" spans="1:1" x14ac:dyDescent="0.2">
      <c r="A873" s="1" t="s">
        <v>3031</v>
      </c>
    </row>
    <row r="874" spans="1:1" x14ac:dyDescent="0.2">
      <c r="A874" s="1" t="s">
        <v>3031</v>
      </c>
    </row>
    <row r="875" spans="1:1" x14ac:dyDescent="0.2">
      <c r="A875" s="1" t="s">
        <v>3031</v>
      </c>
    </row>
    <row r="876" spans="1:1" x14ac:dyDescent="0.2">
      <c r="A876" s="1" t="s">
        <v>3031</v>
      </c>
    </row>
    <row r="877" spans="1:1" x14ac:dyDescent="0.2">
      <c r="A877" s="1" t="s">
        <v>3031</v>
      </c>
    </row>
    <row r="878" spans="1:1" x14ac:dyDescent="0.2">
      <c r="A878" s="1" t="s">
        <v>3031</v>
      </c>
    </row>
    <row r="879" spans="1:1" x14ac:dyDescent="0.2">
      <c r="A879" s="1" t="s">
        <v>3031</v>
      </c>
    </row>
    <row r="880" spans="1:1" x14ac:dyDescent="0.2">
      <c r="A880" s="1" t="s">
        <v>3031</v>
      </c>
    </row>
    <row r="881" spans="1:1" x14ac:dyDescent="0.2">
      <c r="A881" s="1" t="s">
        <v>3031</v>
      </c>
    </row>
    <row r="882" spans="1:1" x14ac:dyDescent="0.2">
      <c r="A882" s="1" t="s">
        <v>3031</v>
      </c>
    </row>
    <row r="883" spans="1:1" x14ac:dyDescent="0.2">
      <c r="A883" s="1" t="s">
        <v>3031</v>
      </c>
    </row>
    <row r="884" spans="1:1" x14ac:dyDescent="0.2">
      <c r="A884" s="1" t="s">
        <v>3031</v>
      </c>
    </row>
    <row r="885" spans="1:1" x14ac:dyDescent="0.2">
      <c r="A885" s="1" t="s">
        <v>3031</v>
      </c>
    </row>
    <row r="886" spans="1:1" x14ac:dyDescent="0.2">
      <c r="A886" s="1" t="s">
        <v>3031</v>
      </c>
    </row>
    <row r="887" spans="1:1" x14ac:dyDescent="0.2">
      <c r="A887" s="1" t="s">
        <v>3031</v>
      </c>
    </row>
    <row r="888" spans="1:1" x14ac:dyDescent="0.2">
      <c r="A888" s="1" t="s">
        <v>3031</v>
      </c>
    </row>
    <row r="889" spans="1:1" x14ac:dyDescent="0.2">
      <c r="A889" s="1" t="s">
        <v>3031</v>
      </c>
    </row>
    <row r="890" spans="1:1" x14ac:dyDescent="0.2">
      <c r="A890" s="1" t="s">
        <v>3031</v>
      </c>
    </row>
    <row r="891" spans="1:1" x14ac:dyDescent="0.2">
      <c r="A891" s="1" t="s">
        <v>3031</v>
      </c>
    </row>
    <row r="892" spans="1:1" x14ac:dyDescent="0.2">
      <c r="A892" s="1" t="s">
        <v>3031</v>
      </c>
    </row>
    <row r="893" spans="1:1" x14ac:dyDescent="0.2">
      <c r="A893" s="1" t="s">
        <v>3031</v>
      </c>
    </row>
    <row r="894" spans="1:1" x14ac:dyDescent="0.2">
      <c r="A894" s="1" t="s">
        <v>3031</v>
      </c>
    </row>
    <row r="895" spans="1:1" x14ac:dyDescent="0.2">
      <c r="A895" s="1" t="s">
        <v>3031</v>
      </c>
    </row>
    <row r="896" spans="1:1" x14ac:dyDescent="0.2">
      <c r="A896" s="1" t="s">
        <v>3031</v>
      </c>
    </row>
    <row r="897" spans="1:1" x14ac:dyDescent="0.2">
      <c r="A897" s="1" t="s">
        <v>3031</v>
      </c>
    </row>
    <row r="898" spans="1:1" x14ac:dyDescent="0.2">
      <c r="A898" s="1" t="s">
        <v>3031</v>
      </c>
    </row>
    <row r="899" spans="1:1" x14ac:dyDescent="0.2">
      <c r="A899" s="1" t="s">
        <v>3031</v>
      </c>
    </row>
    <row r="900" spans="1:1" x14ac:dyDescent="0.2">
      <c r="A900" s="1" t="s">
        <v>3031</v>
      </c>
    </row>
    <row r="901" spans="1:1" x14ac:dyDescent="0.2">
      <c r="A901" s="1" t="s">
        <v>3031</v>
      </c>
    </row>
    <row r="902" spans="1:1" x14ac:dyDescent="0.2">
      <c r="A902" s="1" t="s">
        <v>3031</v>
      </c>
    </row>
    <row r="903" spans="1:1" x14ac:dyDescent="0.2">
      <c r="A903" s="1" t="s">
        <v>3031</v>
      </c>
    </row>
    <row r="904" spans="1:1" x14ac:dyDescent="0.2">
      <c r="A904" s="1" t="s">
        <v>3031</v>
      </c>
    </row>
    <row r="905" spans="1:1" x14ac:dyDescent="0.2">
      <c r="A905" s="1" t="s">
        <v>3031</v>
      </c>
    </row>
    <row r="906" spans="1:1" x14ac:dyDescent="0.2">
      <c r="A906" s="1" t="s">
        <v>3031</v>
      </c>
    </row>
    <row r="907" spans="1:1" x14ac:dyDescent="0.2">
      <c r="A907" s="1" t="s">
        <v>3031</v>
      </c>
    </row>
    <row r="908" spans="1:1" x14ac:dyDescent="0.2">
      <c r="A908" s="1" t="s">
        <v>3031</v>
      </c>
    </row>
    <row r="909" spans="1:1" x14ac:dyDescent="0.2">
      <c r="A909" s="1" t="s">
        <v>3031</v>
      </c>
    </row>
    <row r="910" spans="1:1" x14ac:dyDescent="0.2">
      <c r="A910" s="1" t="s">
        <v>3031</v>
      </c>
    </row>
    <row r="911" spans="1:1" x14ac:dyDescent="0.2">
      <c r="A911" s="1" t="s">
        <v>3031</v>
      </c>
    </row>
    <row r="912" spans="1:1" x14ac:dyDescent="0.2">
      <c r="A912" s="1" t="s">
        <v>3031</v>
      </c>
    </row>
    <row r="913" spans="1:1" x14ac:dyDescent="0.2">
      <c r="A913" s="1" t="s">
        <v>3031</v>
      </c>
    </row>
    <row r="914" spans="1:1" x14ac:dyDescent="0.2">
      <c r="A914" s="1" t="s">
        <v>3031</v>
      </c>
    </row>
    <row r="915" spans="1:1" x14ac:dyDescent="0.2">
      <c r="A915" s="1" t="s">
        <v>3031</v>
      </c>
    </row>
    <row r="916" spans="1:1" x14ac:dyDescent="0.2">
      <c r="A916" s="1" t="s">
        <v>3031</v>
      </c>
    </row>
    <row r="917" spans="1:1" x14ac:dyDescent="0.2">
      <c r="A917" s="1" t="s">
        <v>3031</v>
      </c>
    </row>
    <row r="918" spans="1:1" x14ac:dyDescent="0.2">
      <c r="A918" s="1" t="s">
        <v>3031</v>
      </c>
    </row>
    <row r="919" spans="1:1" x14ac:dyDescent="0.2">
      <c r="A919" s="1" t="s">
        <v>3031</v>
      </c>
    </row>
    <row r="920" spans="1:1" x14ac:dyDescent="0.2">
      <c r="A920" s="1" t="s">
        <v>3031</v>
      </c>
    </row>
    <row r="921" spans="1:1" x14ac:dyDescent="0.2">
      <c r="A921" s="1" t="s">
        <v>3031</v>
      </c>
    </row>
    <row r="922" spans="1:1" x14ac:dyDescent="0.2">
      <c r="A922" s="1" t="s">
        <v>3031</v>
      </c>
    </row>
    <row r="923" spans="1:1" x14ac:dyDescent="0.2">
      <c r="A923" s="1" t="s">
        <v>3031</v>
      </c>
    </row>
    <row r="924" spans="1:1" x14ac:dyDescent="0.2">
      <c r="A924" s="1" t="s">
        <v>3031</v>
      </c>
    </row>
    <row r="925" spans="1:1" x14ac:dyDescent="0.2">
      <c r="A925" s="1" t="s">
        <v>3031</v>
      </c>
    </row>
    <row r="926" spans="1:1" x14ac:dyDescent="0.2">
      <c r="A926" s="1" t="s">
        <v>3031</v>
      </c>
    </row>
    <row r="927" spans="1:1" x14ac:dyDescent="0.2">
      <c r="A927" s="1" t="s">
        <v>3031</v>
      </c>
    </row>
    <row r="928" spans="1:1" x14ac:dyDescent="0.2">
      <c r="A928" s="1" t="s">
        <v>3031</v>
      </c>
    </row>
    <row r="929" spans="1:1" x14ac:dyDescent="0.2">
      <c r="A929" s="1" t="s">
        <v>3031</v>
      </c>
    </row>
    <row r="930" spans="1:1" x14ac:dyDescent="0.2">
      <c r="A930" s="1" t="s">
        <v>3031</v>
      </c>
    </row>
    <row r="931" spans="1:1" x14ac:dyDescent="0.2">
      <c r="A931" s="1" t="s">
        <v>3031</v>
      </c>
    </row>
    <row r="932" spans="1:1" x14ac:dyDescent="0.2">
      <c r="A932" s="1" t="s">
        <v>3031</v>
      </c>
    </row>
    <row r="933" spans="1:1" x14ac:dyDescent="0.2">
      <c r="A933" s="1" t="s">
        <v>3031</v>
      </c>
    </row>
    <row r="934" spans="1:1" x14ac:dyDescent="0.2">
      <c r="A934" s="1" t="s">
        <v>3031</v>
      </c>
    </row>
    <row r="935" spans="1:1" x14ac:dyDescent="0.2">
      <c r="A935" s="1" t="s">
        <v>3031</v>
      </c>
    </row>
    <row r="936" spans="1:1" x14ac:dyDescent="0.2">
      <c r="A936" s="1" t="s">
        <v>3031</v>
      </c>
    </row>
    <row r="937" spans="1:1" x14ac:dyDescent="0.2">
      <c r="A937" s="1" t="s">
        <v>3031</v>
      </c>
    </row>
    <row r="938" spans="1:1" x14ac:dyDescent="0.2">
      <c r="A938" s="1" t="s">
        <v>3031</v>
      </c>
    </row>
    <row r="939" spans="1:1" x14ac:dyDescent="0.2">
      <c r="A939" s="1" t="s">
        <v>3031</v>
      </c>
    </row>
    <row r="940" spans="1:1" x14ac:dyDescent="0.2">
      <c r="A940" s="1" t="s">
        <v>3031</v>
      </c>
    </row>
    <row r="941" spans="1:1" x14ac:dyDescent="0.2">
      <c r="A941" s="1" t="s">
        <v>3031</v>
      </c>
    </row>
    <row r="942" spans="1:1" x14ac:dyDescent="0.2">
      <c r="A942" s="1" t="s">
        <v>3031</v>
      </c>
    </row>
    <row r="943" spans="1:1" x14ac:dyDescent="0.2">
      <c r="A943" s="1" t="s">
        <v>3031</v>
      </c>
    </row>
    <row r="944" spans="1:1" x14ac:dyDescent="0.2">
      <c r="A944" s="1" t="s">
        <v>3031</v>
      </c>
    </row>
    <row r="945" spans="1:1" x14ac:dyDescent="0.2">
      <c r="A945" s="1" t="s">
        <v>3031</v>
      </c>
    </row>
    <row r="946" spans="1:1" x14ac:dyDescent="0.2">
      <c r="A946" s="1" t="s">
        <v>3031</v>
      </c>
    </row>
    <row r="947" spans="1:1" x14ac:dyDescent="0.2">
      <c r="A947" s="1" t="s">
        <v>3031</v>
      </c>
    </row>
    <row r="948" spans="1:1" x14ac:dyDescent="0.2">
      <c r="A948" s="1" t="s">
        <v>3031</v>
      </c>
    </row>
    <row r="949" spans="1:1" x14ac:dyDescent="0.2">
      <c r="A949" s="1" t="s">
        <v>3031</v>
      </c>
    </row>
    <row r="950" spans="1:1" x14ac:dyDescent="0.2">
      <c r="A950" s="1" t="s">
        <v>3031</v>
      </c>
    </row>
    <row r="951" spans="1:1" x14ac:dyDescent="0.2">
      <c r="A951" s="1" t="s">
        <v>3031</v>
      </c>
    </row>
    <row r="952" spans="1:1" x14ac:dyDescent="0.2">
      <c r="A952" s="1" t="s">
        <v>3031</v>
      </c>
    </row>
    <row r="953" spans="1:1" x14ac:dyDescent="0.2">
      <c r="A953" s="1" t="s">
        <v>3031</v>
      </c>
    </row>
    <row r="954" spans="1:1" x14ac:dyDescent="0.2">
      <c r="A954" s="1" t="s">
        <v>3031</v>
      </c>
    </row>
    <row r="955" spans="1:1" x14ac:dyDescent="0.2">
      <c r="A955" s="1" t="s">
        <v>3031</v>
      </c>
    </row>
    <row r="956" spans="1:1" x14ac:dyDescent="0.2">
      <c r="A956" s="1" t="s">
        <v>3031</v>
      </c>
    </row>
    <row r="957" spans="1:1" x14ac:dyDescent="0.2">
      <c r="A957" s="1" t="s">
        <v>3031</v>
      </c>
    </row>
    <row r="958" spans="1:1" x14ac:dyDescent="0.2">
      <c r="A958" s="1" t="s">
        <v>3031</v>
      </c>
    </row>
    <row r="959" spans="1:1" x14ac:dyDescent="0.2">
      <c r="A959" s="1" t="s">
        <v>3031</v>
      </c>
    </row>
    <row r="960" spans="1:1" x14ac:dyDescent="0.2">
      <c r="A960" s="1" t="s">
        <v>3031</v>
      </c>
    </row>
    <row r="961" spans="1:1" x14ac:dyDescent="0.2">
      <c r="A961" s="1" t="s">
        <v>3031</v>
      </c>
    </row>
    <row r="962" spans="1:1" x14ac:dyDescent="0.2">
      <c r="A962" s="1" t="s">
        <v>3031</v>
      </c>
    </row>
    <row r="963" spans="1:1" x14ac:dyDescent="0.2">
      <c r="A963" s="1" t="s">
        <v>3031</v>
      </c>
    </row>
    <row r="964" spans="1:1" x14ac:dyDescent="0.2">
      <c r="A964" s="1" t="s">
        <v>3031</v>
      </c>
    </row>
    <row r="965" spans="1:1" x14ac:dyDescent="0.2">
      <c r="A965" s="1" t="s">
        <v>3031</v>
      </c>
    </row>
    <row r="966" spans="1:1" x14ac:dyDescent="0.2">
      <c r="A966" s="1" t="s">
        <v>3031</v>
      </c>
    </row>
    <row r="967" spans="1:1" x14ac:dyDescent="0.2">
      <c r="A967" s="1" t="s">
        <v>3031</v>
      </c>
    </row>
    <row r="968" spans="1:1" x14ac:dyDescent="0.2">
      <c r="A968" s="1" t="s">
        <v>3031</v>
      </c>
    </row>
    <row r="969" spans="1:1" x14ac:dyDescent="0.2">
      <c r="A969" s="1" t="s">
        <v>3031</v>
      </c>
    </row>
    <row r="970" spans="1:1" x14ac:dyDescent="0.2">
      <c r="A970" s="1" t="s">
        <v>3031</v>
      </c>
    </row>
    <row r="971" spans="1:1" x14ac:dyDescent="0.2">
      <c r="A971" s="1" t="s">
        <v>3031</v>
      </c>
    </row>
    <row r="972" spans="1:1" x14ac:dyDescent="0.2">
      <c r="A972" s="1" t="s">
        <v>3031</v>
      </c>
    </row>
    <row r="973" spans="1:1" x14ac:dyDescent="0.2">
      <c r="A973" s="1" t="s">
        <v>3031</v>
      </c>
    </row>
    <row r="974" spans="1:1" x14ac:dyDescent="0.2">
      <c r="A974" s="1" t="s">
        <v>3031</v>
      </c>
    </row>
    <row r="975" spans="1:1" x14ac:dyDescent="0.2">
      <c r="A975" s="1" t="s">
        <v>3031</v>
      </c>
    </row>
    <row r="976" spans="1:1" x14ac:dyDescent="0.2">
      <c r="A976" s="1" t="s">
        <v>3031</v>
      </c>
    </row>
    <row r="977" spans="1:1" x14ac:dyDescent="0.2">
      <c r="A977" s="1" t="s">
        <v>3031</v>
      </c>
    </row>
    <row r="978" spans="1:1" x14ac:dyDescent="0.2">
      <c r="A978" s="1" t="s">
        <v>3031</v>
      </c>
    </row>
    <row r="979" spans="1:1" x14ac:dyDescent="0.2">
      <c r="A979" s="1" t="s">
        <v>3031</v>
      </c>
    </row>
    <row r="980" spans="1:1" x14ac:dyDescent="0.2">
      <c r="A980" s="1" t="s">
        <v>3031</v>
      </c>
    </row>
    <row r="981" spans="1:1" x14ac:dyDescent="0.2">
      <c r="A981" s="1" t="s">
        <v>3031</v>
      </c>
    </row>
    <row r="982" spans="1:1" x14ac:dyDescent="0.2">
      <c r="A982" s="1" t="s">
        <v>3031</v>
      </c>
    </row>
    <row r="983" spans="1:1" x14ac:dyDescent="0.2">
      <c r="A983" s="1" t="s">
        <v>3031</v>
      </c>
    </row>
    <row r="984" spans="1:1" x14ac:dyDescent="0.2">
      <c r="A984" s="1" t="s">
        <v>3031</v>
      </c>
    </row>
    <row r="985" spans="1:1" x14ac:dyDescent="0.2">
      <c r="A985" s="1" t="s">
        <v>3031</v>
      </c>
    </row>
    <row r="986" spans="1:1" x14ac:dyDescent="0.2">
      <c r="A986" s="1" t="s">
        <v>3031</v>
      </c>
    </row>
    <row r="987" spans="1:1" x14ac:dyDescent="0.2">
      <c r="A987" s="1" t="s">
        <v>3031</v>
      </c>
    </row>
    <row r="988" spans="1:1" x14ac:dyDescent="0.2">
      <c r="A988" s="1" t="s">
        <v>3031</v>
      </c>
    </row>
    <row r="989" spans="1:1" x14ac:dyDescent="0.2">
      <c r="A989" s="1" t="s">
        <v>3031</v>
      </c>
    </row>
    <row r="990" spans="1:1" x14ac:dyDescent="0.2">
      <c r="A990" s="1" t="s">
        <v>3031</v>
      </c>
    </row>
    <row r="991" spans="1:1" x14ac:dyDescent="0.2">
      <c r="A991" s="1" t="s">
        <v>3031</v>
      </c>
    </row>
    <row r="992" spans="1:1" x14ac:dyDescent="0.2">
      <c r="A992" s="1" t="s">
        <v>3031</v>
      </c>
    </row>
    <row r="993" spans="1:1" x14ac:dyDescent="0.2">
      <c r="A993" s="1" t="s">
        <v>3031</v>
      </c>
    </row>
    <row r="994" spans="1:1" x14ac:dyDescent="0.2">
      <c r="A994" s="1" t="s">
        <v>3031</v>
      </c>
    </row>
    <row r="995" spans="1:1" x14ac:dyDescent="0.2">
      <c r="A995" s="1" t="s">
        <v>3031</v>
      </c>
    </row>
    <row r="996" spans="1:1" x14ac:dyDescent="0.2">
      <c r="A996" s="1" t="s">
        <v>3031</v>
      </c>
    </row>
    <row r="997" spans="1:1" x14ac:dyDescent="0.2">
      <c r="A997" s="1" t="s">
        <v>3031</v>
      </c>
    </row>
    <row r="998" spans="1:1" x14ac:dyDescent="0.2">
      <c r="A998" s="1" t="s">
        <v>3031</v>
      </c>
    </row>
    <row r="999" spans="1:1" x14ac:dyDescent="0.2">
      <c r="A999" s="1" t="s">
        <v>3031</v>
      </c>
    </row>
    <row r="1000" spans="1:1" x14ac:dyDescent="0.2">
      <c r="A1000" s="1" t="s">
        <v>3031</v>
      </c>
    </row>
    <row r="1001" spans="1:1" x14ac:dyDescent="0.2">
      <c r="A1001" s="1" t="s">
        <v>3031</v>
      </c>
    </row>
    <row r="1002" spans="1:1" x14ac:dyDescent="0.2">
      <c r="A1002" s="1" t="s">
        <v>3031</v>
      </c>
    </row>
    <row r="1003" spans="1:1" x14ac:dyDescent="0.2">
      <c r="A1003" s="1" t="s">
        <v>3031</v>
      </c>
    </row>
    <row r="1004" spans="1:1" x14ac:dyDescent="0.2">
      <c r="A1004" s="1" t="s">
        <v>3031</v>
      </c>
    </row>
    <row r="1005" spans="1:1" x14ac:dyDescent="0.2">
      <c r="A1005" s="1" t="s">
        <v>3031</v>
      </c>
    </row>
    <row r="1006" spans="1:1" x14ac:dyDescent="0.2">
      <c r="A1006" s="1" t="s">
        <v>3031</v>
      </c>
    </row>
    <row r="1007" spans="1:1" x14ac:dyDescent="0.2">
      <c r="A1007" s="1" t="s">
        <v>3031</v>
      </c>
    </row>
    <row r="1008" spans="1:1" x14ac:dyDescent="0.2">
      <c r="A1008" s="1" t="s">
        <v>3031</v>
      </c>
    </row>
    <row r="1009" spans="1:1" x14ac:dyDescent="0.2">
      <c r="A1009" s="1" t="s">
        <v>3031</v>
      </c>
    </row>
    <row r="1010" spans="1:1" x14ac:dyDescent="0.2">
      <c r="A1010" s="1" t="s">
        <v>3031</v>
      </c>
    </row>
    <row r="1011" spans="1:1" x14ac:dyDescent="0.2">
      <c r="A1011" s="1" t="s">
        <v>3031</v>
      </c>
    </row>
    <row r="1012" spans="1:1" x14ac:dyDescent="0.2">
      <c r="A1012" s="1" t="s">
        <v>3031</v>
      </c>
    </row>
    <row r="1013" spans="1:1" x14ac:dyDescent="0.2">
      <c r="A1013" s="1" t="s">
        <v>3031</v>
      </c>
    </row>
    <row r="1014" spans="1:1" x14ac:dyDescent="0.2">
      <c r="A1014" s="1" t="s">
        <v>3031</v>
      </c>
    </row>
    <row r="1015" spans="1:1" x14ac:dyDescent="0.2">
      <c r="A1015" s="1" t="s">
        <v>3031</v>
      </c>
    </row>
    <row r="1016" spans="1:1" x14ac:dyDescent="0.2">
      <c r="A1016" s="1" t="s">
        <v>3031</v>
      </c>
    </row>
    <row r="1017" spans="1:1" x14ac:dyDescent="0.2">
      <c r="A1017" s="1" t="s">
        <v>3031</v>
      </c>
    </row>
    <row r="1018" spans="1:1" x14ac:dyDescent="0.2">
      <c r="A1018" s="1" t="s">
        <v>3031</v>
      </c>
    </row>
    <row r="1019" spans="1:1" x14ac:dyDescent="0.2">
      <c r="A1019" s="1" t="s">
        <v>3031</v>
      </c>
    </row>
    <row r="1020" spans="1:1" x14ac:dyDescent="0.2">
      <c r="A1020" s="1" t="s">
        <v>3031</v>
      </c>
    </row>
    <row r="1021" spans="1:1" x14ac:dyDescent="0.2">
      <c r="A1021" s="1" t="s">
        <v>3031</v>
      </c>
    </row>
    <row r="1022" spans="1:1" x14ac:dyDescent="0.2">
      <c r="A1022" s="1" t="s">
        <v>3031</v>
      </c>
    </row>
    <row r="1023" spans="1:1" x14ac:dyDescent="0.2">
      <c r="A1023" s="1" t="s">
        <v>3031</v>
      </c>
    </row>
    <row r="1024" spans="1:1" x14ac:dyDescent="0.2">
      <c r="A1024" s="1" t="s">
        <v>3031</v>
      </c>
    </row>
    <row r="1025" spans="1:1" x14ac:dyDescent="0.2">
      <c r="A1025" s="1" t="s">
        <v>3031</v>
      </c>
    </row>
    <row r="1026" spans="1:1" x14ac:dyDescent="0.2">
      <c r="A1026" s="1" t="s">
        <v>3031</v>
      </c>
    </row>
    <row r="1027" spans="1:1" x14ac:dyDescent="0.2">
      <c r="A1027" s="1" t="s">
        <v>3031</v>
      </c>
    </row>
    <row r="1028" spans="1:1" x14ac:dyDescent="0.2">
      <c r="A1028" s="1" t="s">
        <v>3031</v>
      </c>
    </row>
    <row r="1029" spans="1:1" x14ac:dyDescent="0.2">
      <c r="A1029" s="1" t="s">
        <v>3031</v>
      </c>
    </row>
    <row r="1030" spans="1:1" x14ac:dyDescent="0.2">
      <c r="A1030" s="1" t="s">
        <v>3031</v>
      </c>
    </row>
    <row r="1031" spans="1:1" x14ac:dyDescent="0.2">
      <c r="A1031" s="1" t="s">
        <v>3031</v>
      </c>
    </row>
    <row r="1032" spans="1:1" x14ac:dyDescent="0.2">
      <c r="A1032" s="1" t="s">
        <v>3031</v>
      </c>
    </row>
    <row r="1033" spans="1:1" x14ac:dyDescent="0.2">
      <c r="A1033" s="1" t="s">
        <v>3031</v>
      </c>
    </row>
    <row r="1034" spans="1:1" x14ac:dyDescent="0.2">
      <c r="A1034" s="1" t="s">
        <v>3031</v>
      </c>
    </row>
    <row r="1035" spans="1:1" x14ac:dyDescent="0.2">
      <c r="A1035" s="1" t="s">
        <v>3031</v>
      </c>
    </row>
    <row r="1036" spans="1:1" x14ac:dyDescent="0.2">
      <c r="A1036" s="1" t="s">
        <v>3031</v>
      </c>
    </row>
    <row r="1037" spans="1:1" x14ac:dyDescent="0.2">
      <c r="A1037" s="1" t="s">
        <v>3031</v>
      </c>
    </row>
    <row r="1038" spans="1:1" x14ac:dyDescent="0.2">
      <c r="A1038" s="1" t="s">
        <v>3031</v>
      </c>
    </row>
    <row r="1039" spans="1:1" x14ac:dyDescent="0.2">
      <c r="A1039" s="1" t="s">
        <v>3031</v>
      </c>
    </row>
    <row r="1040" spans="1:1" x14ac:dyDescent="0.2">
      <c r="A1040" s="1" t="s">
        <v>3031</v>
      </c>
    </row>
    <row r="1041" spans="1:1" x14ac:dyDescent="0.2">
      <c r="A1041" s="1" t="s">
        <v>3031</v>
      </c>
    </row>
    <row r="1042" spans="1:1" x14ac:dyDescent="0.2">
      <c r="A1042" s="1" t="s">
        <v>3031</v>
      </c>
    </row>
    <row r="1043" spans="1:1" x14ac:dyDescent="0.2">
      <c r="A1043" s="1" t="s">
        <v>3031</v>
      </c>
    </row>
    <row r="1044" spans="1:1" x14ac:dyDescent="0.2">
      <c r="A1044" s="1" t="s">
        <v>3031</v>
      </c>
    </row>
    <row r="1045" spans="1:1" x14ac:dyDescent="0.2">
      <c r="A1045" s="1" t="s">
        <v>3031</v>
      </c>
    </row>
    <row r="1046" spans="1:1" x14ac:dyDescent="0.2">
      <c r="A1046" s="1" t="s">
        <v>3031</v>
      </c>
    </row>
    <row r="1047" spans="1:1" x14ac:dyDescent="0.2">
      <c r="A1047" s="1" t="s">
        <v>3031</v>
      </c>
    </row>
    <row r="1048" spans="1:1" x14ac:dyDescent="0.2">
      <c r="A1048" s="1" t="s">
        <v>3031</v>
      </c>
    </row>
    <row r="1049" spans="1:1" x14ac:dyDescent="0.2">
      <c r="A1049" s="1" t="s">
        <v>3031</v>
      </c>
    </row>
    <row r="1050" spans="1:1" x14ac:dyDescent="0.2">
      <c r="A1050" s="1" t="s">
        <v>3031</v>
      </c>
    </row>
    <row r="1051" spans="1:1" x14ac:dyDescent="0.2">
      <c r="A1051" s="1" t="s">
        <v>3031</v>
      </c>
    </row>
    <row r="1052" spans="1:1" x14ac:dyDescent="0.2">
      <c r="A1052" s="1" t="s">
        <v>3031</v>
      </c>
    </row>
    <row r="1053" spans="1:1" x14ac:dyDescent="0.2">
      <c r="A1053" s="1" t="s">
        <v>3031</v>
      </c>
    </row>
    <row r="1054" spans="1:1" x14ac:dyDescent="0.2">
      <c r="A1054" s="1" t="s">
        <v>3031</v>
      </c>
    </row>
    <row r="1055" spans="1:1" x14ac:dyDescent="0.2">
      <c r="A1055" s="1" t="s">
        <v>3031</v>
      </c>
    </row>
    <row r="1056" spans="1:1" x14ac:dyDescent="0.2">
      <c r="A1056" s="1" t="s">
        <v>3031</v>
      </c>
    </row>
    <row r="1057" spans="1:1" x14ac:dyDescent="0.2">
      <c r="A1057" s="1" t="s">
        <v>3031</v>
      </c>
    </row>
    <row r="1058" spans="1:1" x14ac:dyDescent="0.2">
      <c r="A1058" s="1" t="s">
        <v>3031</v>
      </c>
    </row>
    <row r="1059" spans="1:1" x14ac:dyDescent="0.2">
      <c r="A1059" s="1" t="s">
        <v>3031</v>
      </c>
    </row>
    <row r="1060" spans="1:1" x14ac:dyDescent="0.2">
      <c r="A1060" s="1" t="s">
        <v>3031</v>
      </c>
    </row>
    <row r="1061" spans="1:1" x14ac:dyDescent="0.2">
      <c r="A1061" s="1" t="s">
        <v>3031</v>
      </c>
    </row>
    <row r="1062" spans="1:1" x14ac:dyDescent="0.2">
      <c r="A1062" s="1" t="s">
        <v>3031</v>
      </c>
    </row>
    <row r="1063" spans="1:1" x14ac:dyDescent="0.2">
      <c r="A1063" s="1" t="s">
        <v>3031</v>
      </c>
    </row>
    <row r="1064" spans="1:1" x14ac:dyDescent="0.2">
      <c r="A1064" s="1" t="s">
        <v>3031</v>
      </c>
    </row>
    <row r="1065" spans="1:1" x14ac:dyDescent="0.2">
      <c r="A1065" s="1" t="s">
        <v>3031</v>
      </c>
    </row>
    <row r="1066" spans="1:1" x14ac:dyDescent="0.2">
      <c r="A1066" s="1" t="s">
        <v>3031</v>
      </c>
    </row>
    <row r="1067" spans="1:1" x14ac:dyDescent="0.2">
      <c r="A1067" s="1" t="s">
        <v>3031</v>
      </c>
    </row>
    <row r="1068" spans="1:1" x14ac:dyDescent="0.2">
      <c r="A1068" s="1" t="s">
        <v>3031</v>
      </c>
    </row>
    <row r="1069" spans="1:1" x14ac:dyDescent="0.2">
      <c r="A1069" s="1" t="s">
        <v>3031</v>
      </c>
    </row>
    <row r="1070" spans="1:1" x14ac:dyDescent="0.2">
      <c r="A1070" s="1" t="s">
        <v>3031</v>
      </c>
    </row>
    <row r="1071" spans="1:1" x14ac:dyDescent="0.2">
      <c r="A1071" s="1" t="s">
        <v>3031</v>
      </c>
    </row>
    <row r="1072" spans="1:1" x14ac:dyDescent="0.2">
      <c r="A1072" s="1" t="s">
        <v>3031</v>
      </c>
    </row>
    <row r="1073" spans="1:1" x14ac:dyDescent="0.2">
      <c r="A1073" s="1" t="s">
        <v>3031</v>
      </c>
    </row>
    <row r="1074" spans="1:1" x14ac:dyDescent="0.2">
      <c r="A1074" s="1" t="s">
        <v>3031</v>
      </c>
    </row>
    <row r="1075" spans="1:1" x14ac:dyDescent="0.2">
      <c r="A1075" s="1" t="s">
        <v>3031</v>
      </c>
    </row>
    <row r="1076" spans="1:1" x14ac:dyDescent="0.2">
      <c r="A1076" s="1" t="s">
        <v>3031</v>
      </c>
    </row>
    <row r="1077" spans="1:1" x14ac:dyDescent="0.2">
      <c r="A1077" s="1" t="s">
        <v>3031</v>
      </c>
    </row>
    <row r="1078" spans="1:1" x14ac:dyDescent="0.2">
      <c r="A1078" s="1" t="s">
        <v>3031</v>
      </c>
    </row>
    <row r="1079" spans="1:1" x14ac:dyDescent="0.2">
      <c r="A1079" s="1" t="s">
        <v>3031</v>
      </c>
    </row>
    <row r="1080" spans="1:1" x14ac:dyDescent="0.2">
      <c r="A1080" s="1" t="s">
        <v>3031</v>
      </c>
    </row>
    <row r="1081" spans="1:1" x14ac:dyDescent="0.2">
      <c r="A1081" s="1" t="s">
        <v>3031</v>
      </c>
    </row>
    <row r="1082" spans="1:1" x14ac:dyDescent="0.2">
      <c r="A1082" s="1" t="s">
        <v>3031</v>
      </c>
    </row>
    <row r="1083" spans="1:1" x14ac:dyDescent="0.2">
      <c r="A1083" s="1" t="s">
        <v>3031</v>
      </c>
    </row>
    <row r="1084" spans="1:1" x14ac:dyDescent="0.2">
      <c r="A1084" s="1" t="s">
        <v>3031</v>
      </c>
    </row>
    <row r="1085" spans="1:1" x14ac:dyDescent="0.2">
      <c r="A1085" s="1" t="s">
        <v>3031</v>
      </c>
    </row>
    <row r="1086" spans="1:1" x14ac:dyDescent="0.2">
      <c r="A1086" s="1" t="s">
        <v>3031</v>
      </c>
    </row>
    <row r="1087" spans="1:1" x14ac:dyDescent="0.2">
      <c r="A1087" s="1" t="s">
        <v>3031</v>
      </c>
    </row>
    <row r="1088" spans="1:1" x14ac:dyDescent="0.2">
      <c r="A1088" s="1" t="s">
        <v>3031</v>
      </c>
    </row>
    <row r="1089" spans="1:1" x14ac:dyDescent="0.2">
      <c r="A1089" s="1" t="s">
        <v>3031</v>
      </c>
    </row>
    <row r="1090" spans="1:1" x14ac:dyDescent="0.2">
      <c r="A1090" s="1" t="s">
        <v>3031</v>
      </c>
    </row>
    <row r="1091" spans="1:1" x14ac:dyDescent="0.2">
      <c r="A1091" s="1" t="s">
        <v>3031</v>
      </c>
    </row>
    <row r="1092" spans="1:1" x14ac:dyDescent="0.2">
      <c r="A1092" s="1" t="s">
        <v>3031</v>
      </c>
    </row>
    <row r="1093" spans="1:1" x14ac:dyDescent="0.2">
      <c r="A1093" s="1" t="s">
        <v>3031</v>
      </c>
    </row>
    <row r="1094" spans="1:1" x14ac:dyDescent="0.2">
      <c r="A1094" s="1" t="s">
        <v>3031</v>
      </c>
    </row>
    <row r="1095" spans="1:1" x14ac:dyDescent="0.2">
      <c r="A1095" s="1" t="s">
        <v>3031</v>
      </c>
    </row>
    <row r="1096" spans="1:1" x14ac:dyDescent="0.2">
      <c r="A1096" s="1" t="s">
        <v>3031</v>
      </c>
    </row>
    <row r="1097" spans="1:1" x14ac:dyDescent="0.2">
      <c r="A1097" s="1" t="s">
        <v>3031</v>
      </c>
    </row>
    <row r="1098" spans="1:1" x14ac:dyDescent="0.2">
      <c r="A1098" s="1" t="s">
        <v>3031</v>
      </c>
    </row>
    <row r="1099" spans="1:1" x14ac:dyDescent="0.2">
      <c r="A1099" s="1" t="s">
        <v>3031</v>
      </c>
    </row>
    <row r="1100" spans="1:1" x14ac:dyDescent="0.2">
      <c r="A1100" s="1" t="s">
        <v>3031</v>
      </c>
    </row>
    <row r="1101" spans="1:1" x14ac:dyDescent="0.2">
      <c r="A1101" s="1" t="s">
        <v>3031</v>
      </c>
    </row>
    <row r="1102" spans="1:1" x14ac:dyDescent="0.2">
      <c r="A1102" s="1" t="s">
        <v>3031</v>
      </c>
    </row>
    <row r="1103" spans="1:1" x14ac:dyDescent="0.2">
      <c r="A1103" s="1" t="s">
        <v>3031</v>
      </c>
    </row>
    <row r="1104" spans="1:1" x14ac:dyDescent="0.2">
      <c r="A1104" s="1" t="s">
        <v>3031</v>
      </c>
    </row>
    <row r="1105" spans="1:1" x14ac:dyDescent="0.2">
      <c r="A1105" s="1" t="s">
        <v>3031</v>
      </c>
    </row>
    <row r="1106" spans="1:1" x14ac:dyDescent="0.2">
      <c r="A1106" s="1" t="s">
        <v>3031</v>
      </c>
    </row>
    <row r="1107" spans="1:1" x14ac:dyDescent="0.2">
      <c r="A1107" s="1" t="s">
        <v>3031</v>
      </c>
    </row>
    <row r="1108" spans="1:1" x14ac:dyDescent="0.2">
      <c r="A1108" s="1" t="s">
        <v>3031</v>
      </c>
    </row>
    <row r="1109" spans="1:1" x14ac:dyDescent="0.2">
      <c r="A1109" s="1" t="s">
        <v>3031</v>
      </c>
    </row>
    <row r="1110" spans="1:1" x14ac:dyDescent="0.2">
      <c r="A1110" s="1" t="s">
        <v>3031</v>
      </c>
    </row>
    <row r="1111" spans="1:1" x14ac:dyDescent="0.2">
      <c r="A1111" s="1" t="s">
        <v>3031</v>
      </c>
    </row>
    <row r="1112" spans="1:1" x14ac:dyDescent="0.2">
      <c r="A1112" s="1" t="s">
        <v>3031</v>
      </c>
    </row>
    <row r="1113" spans="1:1" x14ac:dyDescent="0.2">
      <c r="A1113" s="1" t="s">
        <v>3031</v>
      </c>
    </row>
    <row r="1114" spans="1:1" x14ac:dyDescent="0.2">
      <c r="A1114" s="1" t="s">
        <v>3031</v>
      </c>
    </row>
    <row r="1115" spans="1:1" x14ac:dyDescent="0.2">
      <c r="A1115" s="1" t="s">
        <v>3031</v>
      </c>
    </row>
    <row r="1116" spans="1:1" x14ac:dyDescent="0.2">
      <c r="A1116" s="1" t="s">
        <v>3031</v>
      </c>
    </row>
    <row r="1117" spans="1:1" x14ac:dyDescent="0.2">
      <c r="A1117" s="1" t="s">
        <v>3031</v>
      </c>
    </row>
    <row r="1118" spans="1:1" x14ac:dyDescent="0.2">
      <c r="A1118" s="1" t="s">
        <v>3031</v>
      </c>
    </row>
    <row r="1119" spans="1:1" x14ac:dyDescent="0.2">
      <c r="A1119" s="1" t="s">
        <v>3031</v>
      </c>
    </row>
    <row r="1120" spans="1:1" x14ac:dyDescent="0.2">
      <c r="A1120" s="1" t="s">
        <v>3031</v>
      </c>
    </row>
    <row r="1121" spans="1:1" x14ac:dyDescent="0.2">
      <c r="A1121" s="1" t="s">
        <v>3031</v>
      </c>
    </row>
    <row r="1122" spans="1:1" x14ac:dyDescent="0.2">
      <c r="A1122" s="1" t="s">
        <v>3031</v>
      </c>
    </row>
    <row r="1123" spans="1:1" x14ac:dyDescent="0.2">
      <c r="A1123" s="1" t="s">
        <v>3031</v>
      </c>
    </row>
    <row r="1124" spans="1:1" x14ac:dyDescent="0.2">
      <c r="A1124" s="1" t="s">
        <v>3031</v>
      </c>
    </row>
    <row r="1125" spans="1:1" x14ac:dyDescent="0.2">
      <c r="A1125" s="1" t="s">
        <v>3031</v>
      </c>
    </row>
    <row r="1126" spans="1:1" x14ac:dyDescent="0.2">
      <c r="A1126" s="1" t="s">
        <v>3031</v>
      </c>
    </row>
    <row r="1127" spans="1:1" x14ac:dyDescent="0.2">
      <c r="A1127" s="1" t="s">
        <v>3031</v>
      </c>
    </row>
    <row r="1128" spans="1:1" x14ac:dyDescent="0.2">
      <c r="A1128" s="1" t="s">
        <v>3031</v>
      </c>
    </row>
    <row r="1129" spans="1:1" x14ac:dyDescent="0.2">
      <c r="A1129" s="1" t="s">
        <v>3031</v>
      </c>
    </row>
    <row r="1130" spans="1:1" x14ac:dyDescent="0.2">
      <c r="A1130" s="1" t="s">
        <v>3031</v>
      </c>
    </row>
    <row r="1131" spans="1:1" x14ac:dyDescent="0.2">
      <c r="A1131" s="1" t="s">
        <v>3031</v>
      </c>
    </row>
    <row r="1132" spans="1:1" x14ac:dyDescent="0.2">
      <c r="A1132" s="1" t="s">
        <v>3031</v>
      </c>
    </row>
    <row r="1133" spans="1:1" x14ac:dyDescent="0.2">
      <c r="A1133" s="1" t="s">
        <v>3031</v>
      </c>
    </row>
    <row r="1134" spans="1:1" x14ac:dyDescent="0.2">
      <c r="A1134" s="1" t="s">
        <v>3031</v>
      </c>
    </row>
    <row r="1135" spans="1:1" x14ac:dyDescent="0.2">
      <c r="A1135" s="1" t="s">
        <v>3031</v>
      </c>
    </row>
    <row r="1136" spans="1:1" x14ac:dyDescent="0.2">
      <c r="A1136" s="1" t="s">
        <v>3031</v>
      </c>
    </row>
    <row r="1137" spans="1:1" x14ac:dyDescent="0.2">
      <c r="A1137" s="1" t="s">
        <v>3031</v>
      </c>
    </row>
    <row r="1138" spans="1:1" x14ac:dyDescent="0.2">
      <c r="A1138" s="1" t="s">
        <v>3031</v>
      </c>
    </row>
    <row r="1139" spans="1:1" x14ac:dyDescent="0.2">
      <c r="A1139" s="1" t="s">
        <v>3031</v>
      </c>
    </row>
    <row r="1140" spans="1:1" x14ac:dyDescent="0.2">
      <c r="A1140" s="1" t="s">
        <v>3031</v>
      </c>
    </row>
    <row r="1141" spans="1:1" x14ac:dyDescent="0.2">
      <c r="A1141" s="1" t="s">
        <v>3031</v>
      </c>
    </row>
    <row r="1142" spans="1:1" x14ac:dyDescent="0.2">
      <c r="A1142" s="1" t="s">
        <v>3031</v>
      </c>
    </row>
    <row r="1143" spans="1:1" x14ac:dyDescent="0.2">
      <c r="A1143" s="1" t="s">
        <v>3031</v>
      </c>
    </row>
    <row r="1144" spans="1:1" x14ac:dyDescent="0.2">
      <c r="A1144" s="1" t="s">
        <v>3031</v>
      </c>
    </row>
    <row r="1145" spans="1:1" x14ac:dyDescent="0.2">
      <c r="A1145" s="1" t="s">
        <v>3031</v>
      </c>
    </row>
    <row r="1146" spans="1:1" x14ac:dyDescent="0.2">
      <c r="A1146" s="1" t="s">
        <v>3031</v>
      </c>
    </row>
    <row r="1147" spans="1:1" x14ac:dyDescent="0.2">
      <c r="A1147" s="1" t="s">
        <v>3031</v>
      </c>
    </row>
    <row r="1148" spans="1:1" x14ac:dyDescent="0.2">
      <c r="A1148" s="1" t="s">
        <v>3031</v>
      </c>
    </row>
    <row r="1149" spans="1:1" x14ac:dyDescent="0.2">
      <c r="A1149" s="1" t="s">
        <v>3031</v>
      </c>
    </row>
    <row r="1150" spans="1:1" x14ac:dyDescent="0.2">
      <c r="A1150" s="1" t="s">
        <v>3031</v>
      </c>
    </row>
    <row r="1151" spans="1:1" x14ac:dyDescent="0.2">
      <c r="A1151" s="1" t="s">
        <v>3031</v>
      </c>
    </row>
    <row r="1152" spans="1:1" x14ac:dyDescent="0.2">
      <c r="A1152" s="1" t="s">
        <v>3031</v>
      </c>
    </row>
    <row r="1153" spans="1:1" x14ac:dyDescent="0.2">
      <c r="A1153" s="1" t="s">
        <v>3031</v>
      </c>
    </row>
    <row r="1154" spans="1:1" x14ac:dyDescent="0.2">
      <c r="A1154" s="1" t="s">
        <v>3031</v>
      </c>
    </row>
    <row r="1155" spans="1:1" x14ac:dyDescent="0.2">
      <c r="A1155" s="1" t="s">
        <v>3031</v>
      </c>
    </row>
    <row r="1156" spans="1:1" x14ac:dyDescent="0.2">
      <c r="A1156" s="1" t="s">
        <v>3031</v>
      </c>
    </row>
    <row r="1157" spans="1:1" x14ac:dyDescent="0.2">
      <c r="A1157" s="1" t="s">
        <v>3031</v>
      </c>
    </row>
    <row r="1158" spans="1:1" x14ac:dyDescent="0.2">
      <c r="A1158" s="1" t="s">
        <v>3031</v>
      </c>
    </row>
    <row r="1159" spans="1:1" x14ac:dyDescent="0.2">
      <c r="A1159" s="1" t="s">
        <v>3031</v>
      </c>
    </row>
    <row r="1160" spans="1:1" x14ac:dyDescent="0.2">
      <c r="A1160" s="1" t="s">
        <v>3031</v>
      </c>
    </row>
    <row r="1161" spans="1:1" x14ac:dyDescent="0.2">
      <c r="A1161" s="1" t="s">
        <v>3031</v>
      </c>
    </row>
    <row r="1162" spans="1:1" x14ac:dyDescent="0.2">
      <c r="A1162" s="1" t="s">
        <v>3031</v>
      </c>
    </row>
    <row r="1163" spans="1:1" x14ac:dyDescent="0.2">
      <c r="A1163" s="1" t="s">
        <v>3031</v>
      </c>
    </row>
    <row r="1164" spans="1:1" x14ac:dyDescent="0.2">
      <c r="A1164" s="1" t="s">
        <v>3031</v>
      </c>
    </row>
    <row r="1165" spans="1:1" x14ac:dyDescent="0.2">
      <c r="A1165" s="1" t="s">
        <v>3031</v>
      </c>
    </row>
    <row r="1166" spans="1:1" x14ac:dyDescent="0.2">
      <c r="A1166" s="1" t="s">
        <v>3031</v>
      </c>
    </row>
    <row r="1167" spans="1:1" x14ac:dyDescent="0.2">
      <c r="A1167" s="1" t="s">
        <v>3031</v>
      </c>
    </row>
    <row r="1168" spans="1:1" x14ac:dyDescent="0.2">
      <c r="A1168" s="1" t="s">
        <v>3031</v>
      </c>
    </row>
    <row r="1169" spans="1:1" x14ac:dyDescent="0.2">
      <c r="A1169" s="1" t="s">
        <v>3031</v>
      </c>
    </row>
    <row r="1170" spans="1:1" x14ac:dyDescent="0.2">
      <c r="A1170" s="1" t="s">
        <v>3031</v>
      </c>
    </row>
    <row r="1171" spans="1:1" x14ac:dyDescent="0.2">
      <c r="A1171" s="1" t="s">
        <v>3031</v>
      </c>
    </row>
    <row r="1172" spans="1:1" x14ac:dyDescent="0.2">
      <c r="A1172" s="1" t="s">
        <v>3031</v>
      </c>
    </row>
    <row r="1173" spans="1:1" x14ac:dyDescent="0.2">
      <c r="A1173" s="1" t="s">
        <v>3031</v>
      </c>
    </row>
    <row r="1174" spans="1:1" x14ac:dyDescent="0.2">
      <c r="A1174" s="1" t="s">
        <v>3031</v>
      </c>
    </row>
    <row r="1175" spans="1:1" x14ac:dyDescent="0.2">
      <c r="A1175" s="1" t="s">
        <v>3031</v>
      </c>
    </row>
    <row r="1176" spans="1:1" x14ac:dyDescent="0.2">
      <c r="A1176" s="1" t="s">
        <v>3031</v>
      </c>
    </row>
    <row r="1177" spans="1:1" x14ac:dyDescent="0.2">
      <c r="A1177" s="1" t="s">
        <v>3031</v>
      </c>
    </row>
    <row r="1178" spans="1:1" x14ac:dyDescent="0.2">
      <c r="A1178" s="1" t="s">
        <v>3031</v>
      </c>
    </row>
    <row r="1179" spans="1:1" x14ac:dyDescent="0.2">
      <c r="A1179" s="1" t="s">
        <v>3031</v>
      </c>
    </row>
    <row r="1180" spans="1:1" x14ac:dyDescent="0.2">
      <c r="A1180" s="1" t="s">
        <v>3031</v>
      </c>
    </row>
    <row r="1181" spans="1:1" x14ac:dyDescent="0.2">
      <c r="A1181" s="1" t="s">
        <v>3031</v>
      </c>
    </row>
    <row r="1182" spans="1:1" x14ac:dyDescent="0.2">
      <c r="A1182" s="1" t="s">
        <v>3031</v>
      </c>
    </row>
    <row r="1183" spans="1:1" x14ac:dyDescent="0.2">
      <c r="A1183" s="1" t="s">
        <v>3031</v>
      </c>
    </row>
    <row r="1184" spans="1:1" x14ac:dyDescent="0.2">
      <c r="A1184" s="1" t="s">
        <v>3031</v>
      </c>
    </row>
    <row r="1185" spans="1:1" x14ac:dyDescent="0.2">
      <c r="A1185" s="1" t="s">
        <v>3031</v>
      </c>
    </row>
    <row r="1186" spans="1:1" x14ac:dyDescent="0.2">
      <c r="A1186" s="1" t="s">
        <v>3031</v>
      </c>
    </row>
    <row r="1187" spans="1:1" x14ac:dyDescent="0.2">
      <c r="A1187" s="1" t="s">
        <v>3031</v>
      </c>
    </row>
    <row r="1188" spans="1:1" x14ac:dyDescent="0.2">
      <c r="A1188" s="1" t="s">
        <v>3031</v>
      </c>
    </row>
    <row r="1189" spans="1:1" x14ac:dyDescent="0.2">
      <c r="A1189" s="1" t="s">
        <v>3031</v>
      </c>
    </row>
    <row r="1190" spans="1:1" x14ac:dyDescent="0.2">
      <c r="A1190" s="1" t="s">
        <v>3031</v>
      </c>
    </row>
    <row r="1191" spans="1:1" x14ac:dyDescent="0.2">
      <c r="A1191" s="1" t="s">
        <v>3031</v>
      </c>
    </row>
    <row r="1192" spans="1:1" x14ac:dyDescent="0.2">
      <c r="A1192" s="1" t="s">
        <v>3031</v>
      </c>
    </row>
    <row r="1193" spans="1:1" x14ac:dyDescent="0.2">
      <c r="A1193" s="1" t="s">
        <v>3031</v>
      </c>
    </row>
    <row r="1194" spans="1:1" x14ac:dyDescent="0.2">
      <c r="A1194" s="1" t="s">
        <v>3031</v>
      </c>
    </row>
    <row r="1195" spans="1:1" x14ac:dyDescent="0.2">
      <c r="A1195" s="1" t="s">
        <v>3031</v>
      </c>
    </row>
    <row r="1196" spans="1:1" x14ac:dyDescent="0.2">
      <c r="A1196" s="1" t="s">
        <v>3031</v>
      </c>
    </row>
    <row r="1197" spans="1:1" x14ac:dyDescent="0.2">
      <c r="A1197" s="1" t="s">
        <v>3031</v>
      </c>
    </row>
    <row r="1198" spans="1:1" x14ac:dyDescent="0.2">
      <c r="A1198" s="1" t="s">
        <v>3031</v>
      </c>
    </row>
    <row r="1199" spans="1:1" x14ac:dyDescent="0.2">
      <c r="A1199" s="1" t="s">
        <v>3031</v>
      </c>
    </row>
    <row r="1200" spans="1:1" x14ac:dyDescent="0.2">
      <c r="A1200" s="1" t="s">
        <v>3031</v>
      </c>
    </row>
    <row r="1201" spans="1:1" x14ac:dyDescent="0.2">
      <c r="A1201" s="1" t="s">
        <v>3031</v>
      </c>
    </row>
    <row r="1202" spans="1:1" x14ac:dyDescent="0.2">
      <c r="A1202" s="1" t="s">
        <v>3031</v>
      </c>
    </row>
    <row r="1203" spans="1:1" x14ac:dyDescent="0.2">
      <c r="A1203" s="1" t="s">
        <v>3031</v>
      </c>
    </row>
    <row r="1204" spans="1:1" x14ac:dyDescent="0.2">
      <c r="A1204" s="1" t="s">
        <v>3031</v>
      </c>
    </row>
    <row r="1205" spans="1:1" x14ac:dyDescent="0.2">
      <c r="A1205" s="1" t="s">
        <v>3031</v>
      </c>
    </row>
    <row r="1206" spans="1:1" x14ac:dyDescent="0.2">
      <c r="A1206" s="1" t="s">
        <v>3031</v>
      </c>
    </row>
    <row r="1207" spans="1:1" x14ac:dyDescent="0.2">
      <c r="A1207" s="1" t="s">
        <v>3031</v>
      </c>
    </row>
    <row r="1208" spans="1:1" x14ac:dyDescent="0.2">
      <c r="A1208" s="1" t="s">
        <v>3031</v>
      </c>
    </row>
    <row r="1209" spans="1:1" x14ac:dyDescent="0.2">
      <c r="A1209" s="1" t="s">
        <v>3031</v>
      </c>
    </row>
    <row r="1210" spans="1:1" x14ac:dyDescent="0.2">
      <c r="A1210" s="1" t="s">
        <v>3031</v>
      </c>
    </row>
    <row r="1211" spans="1:1" x14ac:dyDescent="0.2">
      <c r="A1211" s="1" t="s">
        <v>3031</v>
      </c>
    </row>
    <row r="1212" spans="1:1" x14ac:dyDescent="0.2">
      <c r="A1212" s="1" t="s">
        <v>3031</v>
      </c>
    </row>
    <row r="1213" spans="1:1" x14ac:dyDescent="0.2">
      <c r="A1213" s="1" t="s">
        <v>3031</v>
      </c>
    </row>
    <row r="1214" spans="1:1" x14ac:dyDescent="0.2">
      <c r="A1214" s="1" t="s">
        <v>3031</v>
      </c>
    </row>
    <row r="1215" spans="1:1" x14ac:dyDescent="0.2">
      <c r="A1215" s="1" t="s">
        <v>3031</v>
      </c>
    </row>
    <row r="1216" spans="1:1" x14ac:dyDescent="0.2">
      <c r="A1216" s="1" t="s">
        <v>3031</v>
      </c>
    </row>
    <row r="1217" spans="1:1" x14ac:dyDescent="0.2">
      <c r="A1217" s="1" t="s">
        <v>3031</v>
      </c>
    </row>
    <row r="1218" spans="1:1" x14ac:dyDescent="0.2">
      <c r="A1218" s="1" t="s">
        <v>3031</v>
      </c>
    </row>
    <row r="1219" spans="1:1" x14ac:dyDescent="0.2">
      <c r="A1219" s="1" t="s">
        <v>3031</v>
      </c>
    </row>
    <row r="1220" spans="1:1" x14ac:dyDescent="0.2">
      <c r="A1220" s="1" t="s">
        <v>3031</v>
      </c>
    </row>
    <row r="1221" spans="1:1" x14ac:dyDescent="0.2">
      <c r="A1221" s="1" t="s">
        <v>3031</v>
      </c>
    </row>
    <row r="1222" spans="1:1" x14ac:dyDescent="0.2">
      <c r="A1222" s="1" t="s">
        <v>3031</v>
      </c>
    </row>
    <row r="1223" spans="1:1" x14ac:dyDescent="0.2">
      <c r="A1223" s="1" t="s">
        <v>3031</v>
      </c>
    </row>
    <row r="1224" spans="1:1" x14ac:dyDescent="0.2">
      <c r="A1224" s="1" t="s">
        <v>3031</v>
      </c>
    </row>
    <row r="1225" spans="1:1" x14ac:dyDescent="0.2">
      <c r="A1225" s="1" t="s">
        <v>3031</v>
      </c>
    </row>
    <row r="1226" spans="1:1" x14ac:dyDescent="0.2">
      <c r="A1226" s="1" t="s">
        <v>3031</v>
      </c>
    </row>
    <row r="1227" spans="1:1" x14ac:dyDescent="0.2">
      <c r="A1227" s="1" t="s">
        <v>3031</v>
      </c>
    </row>
    <row r="1228" spans="1:1" x14ac:dyDescent="0.2">
      <c r="A1228" s="1" t="s">
        <v>3031</v>
      </c>
    </row>
    <row r="1229" spans="1:1" x14ac:dyDescent="0.2">
      <c r="A1229" s="1" t="s">
        <v>3031</v>
      </c>
    </row>
    <row r="1230" spans="1:1" x14ac:dyDescent="0.2">
      <c r="A1230" s="1" t="s">
        <v>3031</v>
      </c>
    </row>
    <row r="1231" spans="1:1" x14ac:dyDescent="0.2">
      <c r="A1231" s="1" t="s">
        <v>3031</v>
      </c>
    </row>
    <row r="1232" spans="1:1" x14ac:dyDescent="0.2">
      <c r="A1232" s="1" t="s">
        <v>3031</v>
      </c>
    </row>
    <row r="1233" spans="1:1" x14ac:dyDescent="0.2">
      <c r="A1233" s="1" t="s">
        <v>3031</v>
      </c>
    </row>
    <row r="1234" spans="1:1" x14ac:dyDescent="0.2">
      <c r="A1234" s="1" t="s">
        <v>3031</v>
      </c>
    </row>
    <row r="1235" spans="1:1" x14ac:dyDescent="0.2">
      <c r="A1235" s="1" t="s">
        <v>3031</v>
      </c>
    </row>
    <row r="1236" spans="1:1" x14ac:dyDescent="0.2">
      <c r="A1236" s="1" t="s">
        <v>3031</v>
      </c>
    </row>
    <row r="1237" spans="1:1" x14ac:dyDescent="0.2">
      <c r="A1237" s="1" t="s">
        <v>3031</v>
      </c>
    </row>
    <row r="1238" spans="1:1" x14ac:dyDescent="0.2">
      <c r="A1238" s="1" t="s">
        <v>3031</v>
      </c>
    </row>
    <row r="1239" spans="1:1" x14ac:dyDescent="0.2">
      <c r="A1239" s="1" t="s">
        <v>3031</v>
      </c>
    </row>
    <row r="1240" spans="1:1" x14ac:dyDescent="0.2">
      <c r="A1240" s="1" t="s">
        <v>3031</v>
      </c>
    </row>
    <row r="1241" spans="1:1" x14ac:dyDescent="0.2">
      <c r="A1241" s="1" t="s">
        <v>3031</v>
      </c>
    </row>
    <row r="1242" spans="1:1" x14ac:dyDescent="0.2">
      <c r="A1242" s="1" t="s">
        <v>3031</v>
      </c>
    </row>
    <row r="1243" spans="1:1" x14ac:dyDescent="0.2">
      <c r="A1243" s="1" t="s">
        <v>3031</v>
      </c>
    </row>
    <row r="1244" spans="1:1" x14ac:dyDescent="0.2">
      <c r="A1244" s="1" t="s">
        <v>3031</v>
      </c>
    </row>
    <row r="1245" spans="1:1" x14ac:dyDescent="0.2">
      <c r="A1245" s="1" t="s">
        <v>3031</v>
      </c>
    </row>
    <row r="1246" spans="1:1" x14ac:dyDescent="0.2">
      <c r="A1246" s="1" t="s">
        <v>3031</v>
      </c>
    </row>
    <row r="1247" spans="1:1" x14ac:dyDescent="0.2">
      <c r="A1247" s="1" t="s">
        <v>3031</v>
      </c>
    </row>
    <row r="1248" spans="1:1" x14ac:dyDescent="0.2">
      <c r="A1248" s="1" t="s">
        <v>3031</v>
      </c>
    </row>
    <row r="1249" spans="1:1" x14ac:dyDescent="0.2">
      <c r="A1249" s="1" t="s">
        <v>3031</v>
      </c>
    </row>
    <row r="1250" spans="1:1" x14ac:dyDescent="0.2">
      <c r="A1250" s="1" t="s">
        <v>3031</v>
      </c>
    </row>
    <row r="1251" spans="1:1" x14ac:dyDescent="0.2">
      <c r="A1251" s="1" t="s">
        <v>3031</v>
      </c>
    </row>
    <row r="1252" spans="1:1" x14ac:dyDescent="0.2">
      <c r="A1252" s="1" t="s">
        <v>3031</v>
      </c>
    </row>
    <row r="1253" spans="1:1" x14ac:dyDescent="0.2">
      <c r="A1253" s="1" t="s">
        <v>3031</v>
      </c>
    </row>
    <row r="1254" spans="1:1" x14ac:dyDescent="0.2">
      <c r="A1254" s="1" t="s">
        <v>3031</v>
      </c>
    </row>
    <row r="1255" spans="1:1" x14ac:dyDescent="0.2">
      <c r="A1255" s="1" t="s">
        <v>3031</v>
      </c>
    </row>
    <row r="1256" spans="1:1" x14ac:dyDescent="0.2">
      <c r="A1256" s="1" t="s">
        <v>3031</v>
      </c>
    </row>
    <row r="1257" spans="1:1" x14ac:dyDescent="0.2">
      <c r="A1257" s="1" t="s">
        <v>3031</v>
      </c>
    </row>
    <row r="1258" spans="1:1" x14ac:dyDescent="0.2">
      <c r="A1258" s="1" t="s">
        <v>3031</v>
      </c>
    </row>
    <row r="1259" spans="1:1" x14ac:dyDescent="0.2">
      <c r="A1259" s="1" t="s">
        <v>3031</v>
      </c>
    </row>
    <row r="1260" spans="1:1" x14ac:dyDescent="0.2">
      <c r="A1260" s="1" t="s">
        <v>3031</v>
      </c>
    </row>
    <row r="1261" spans="1:1" x14ac:dyDescent="0.2">
      <c r="A1261" s="1" t="s">
        <v>3031</v>
      </c>
    </row>
    <row r="1262" spans="1:1" x14ac:dyDescent="0.2">
      <c r="A1262" s="1" t="s">
        <v>3031</v>
      </c>
    </row>
    <row r="1263" spans="1:1" x14ac:dyDescent="0.2">
      <c r="A1263" s="1" t="s">
        <v>3031</v>
      </c>
    </row>
    <row r="1264" spans="1:1" x14ac:dyDescent="0.2">
      <c r="A1264" s="1" t="s">
        <v>3031</v>
      </c>
    </row>
    <row r="1265" spans="1:1" x14ac:dyDescent="0.2">
      <c r="A1265" s="1" t="s">
        <v>3031</v>
      </c>
    </row>
    <row r="1266" spans="1:1" x14ac:dyDescent="0.2">
      <c r="A1266" s="1" t="s">
        <v>3031</v>
      </c>
    </row>
    <row r="1267" spans="1:1" x14ac:dyDescent="0.2">
      <c r="A1267" s="1" t="s">
        <v>3031</v>
      </c>
    </row>
    <row r="1268" spans="1:1" x14ac:dyDescent="0.2">
      <c r="A1268" s="1" t="s">
        <v>3031</v>
      </c>
    </row>
    <row r="1269" spans="1:1" x14ac:dyDescent="0.2">
      <c r="A1269" s="1" t="s">
        <v>3031</v>
      </c>
    </row>
    <row r="1270" spans="1:1" x14ac:dyDescent="0.2">
      <c r="A1270" s="1" t="s">
        <v>3031</v>
      </c>
    </row>
    <row r="1271" spans="1:1" x14ac:dyDescent="0.2">
      <c r="A1271" s="1" t="s">
        <v>3031</v>
      </c>
    </row>
    <row r="1272" spans="1:1" x14ac:dyDescent="0.2">
      <c r="A1272" s="1" t="s">
        <v>3031</v>
      </c>
    </row>
    <row r="1273" spans="1:1" x14ac:dyDescent="0.2">
      <c r="A1273" s="1" t="s">
        <v>3031</v>
      </c>
    </row>
    <row r="1274" spans="1:1" x14ac:dyDescent="0.2">
      <c r="A1274" s="1" t="s">
        <v>3031</v>
      </c>
    </row>
    <row r="1275" spans="1:1" x14ac:dyDescent="0.2">
      <c r="A1275" s="1" t="s">
        <v>3031</v>
      </c>
    </row>
    <row r="1276" spans="1:1" x14ac:dyDescent="0.2">
      <c r="A1276" s="1" t="s">
        <v>3031</v>
      </c>
    </row>
    <row r="1277" spans="1:1" x14ac:dyDescent="0.2">
      <c r="A1277" s="1" t="s">
        <v>3031</v>
      </c>
    </row>
    <row r="1278" spans="1:1" x14ac:dyDescent="0.2">
      <c r="A1278" s="1" t="s">
        <v>3031</v>
      </c>
    </row>
    <row r="1279" spans="1:1" x14ac:dyDescent="0.2">
      <c r="A1279" s="1" t="s">
        <v>3031</v>
      </c>
    </row>
    <row r="1280" spans="1:1" x14ac:dyDescent="0.2">
      <c r="A1280" s="1" t="s">
        <v>3031</v>
      </c>
    </row>
    <row r="1281" spans="1:1" x14ac:dyDescent="0.2">
      <c r="A1281" s="1" t="s">
        <v>3031</v>
      </c>
    </row>
    <row r="1282" spans="1:1" x14ac:dyDescent="0.2">
      <c r="A1282" s="1" t="s">
        <v>3031</v>
      </c>
    </row>
    <row r="1283" spans="1:1" x14ac:dyDescent="0.2">
      <c r="A1283" s="1" t="s">
        <v>3031</v>
      </c>
    </row>
    <row r="1284" spans="1:1" x14ac:dyDescent="0.2">
      <c r="A1284" s="1" t="s">
        <v>3031</v>
      </c>
    </row>
    <row r="1285" spans="1:1" x14ac:dyDescent="0.2">
      <c r="A1285" s="1" t="s">
        <v>3031</v>
      </c>
    </row>
    <row r="1286" spans="1:1" x14ac:dyDescent="0.2">
      <c r="A1286" s="1" t="s">
        <v>3031</v>
      </c>
    </row>
    <row r="1287" spans="1:1" x14ac:dyDescent="0.2">
      <c r="A1287" s="1" t="s">
        <v>3031</v>
      </c>
    </row>
    <row r="1288" spans="1:1" x14ac:dyDescent="0.2">
      <c r="A1288" s="1" t="s">
        <v>3031</v>
      </c>
    </row>
    <row r="1289" spans="1:1" x14ac:dyDescent="0.2">
      <c r="A1289" s="1" t="s">
        <v>3031</v>
      </c>
    </row>
    <row r="1290" spans="1:1" x14ac:dyDescent="0.2">
      <c r="A1290" s="1" t="s">
        <v>3031</v>
      </c>
    </row>
    <row r="1291" spans="1:1" x14ac:dyDescent="0.2">
      <c r="A1291" s="1" t="s">
        <v>3031</v>
      </c>
    </row>
    <row r="1292" spans="1:1" x14ac:dyDescent="0.2">
      <c r="A1292" s="1" t="s">
        <v>3031</v>
      </c>
    </row>
    <row r="1293" spans="1:1" x14ac:dyDescent="0.2">
      <c r="A1293" s="1" t="s">
        <v>3031</v>
      </c>
    </row>
    <row r="1294" spans="1:1" x14ac:dyDescent="0.2">
      <c r="A1294" s="1" t="s">
        <v>3031</v>
      </c>
    </row>
    <row r="1295" spans="1:1" x14ac:dyDescent="0.2">
      <c r="A1295" s="1" t="s">
        <v>3031</v>
      </c>
    </row>
    <row r="1296" spans="1:1" x14ac:dyDescent="0.2">
      <c r="A1296" s="1" t="s">
        <v>3031</v>
      </c>
    </row>
    <row r="1297" spans="1:1" x14ac:dyDescent="0.2">
      <c r="A1297" s="1" t="s">
        <v>3031</v>
      </c>
    </row>
    <row r="1298" spans="1:1" x14ac:dyDescent="0.2">
      <c r="A1298" s="1" t="s">
        <v>3031</v>
      </c>
    </row>
    <row r="1299" spans="1:1" x14ac:dyDescent="0.2">
      <c r="A1299" s="1" t="s">
        <v>3031</v>
      </c>
    </row>
    <row r="1300" spans="1:1" x14ac:dyDescent="0.2">
      <c r="A1300" s="1" t="s">
        <v>3031</v>
      </c>
    </row>
    <row r="1301" spans="1:1" x14ac:dyDescent="0.2">
      <c r="A1301" s="1" t="s">
        <v>3031</v>
      </c>
    </row>
    <row r="1302" spans="1:1" x14ac:dyDescent="0.2">
      <c r="A1302" s="1" t="s">
        <v>3031</v>
      </c>
    </row>
    <row r="1303" spans="1:1" x14ac:dyDescent="0.2">
      <c r="A1303" s="1" t="s">
        <v>3031</v>
      </c>
    </row>
    <row r="1304" spans="1:1" x14ac:dyDescent="0.2">
      <c r="A1304" s="1" t="s">
        <v>3031</v>
      </c>
    </row>
    <row r="1305" spans="1:1" x14ac:dyDescent="0.2">
      <c r="A1305" s="1" t="s">
        <v>3031</v>
      </c>
    </row>
    <row r="1306" spans="1:1" x14ac:dyDescent="0.2">
      <c r="A1306" s="1" t="s">
        <v>3031</v>
      </c>
    </row>
    <row r="1307" spans="1:1" x14ac:dyDescent="0.2">
      <c r="A1307" s="1" t="s">
        <v>3031</v>
      </c>
    </row>
    <row r="1308" spans="1:1" x14ac:dyDescent="0.2">
      <c r="A1308" s="1" t="s">
        <v>3031</v>
      </c>
    </row>
    <row r="1309" spans="1:1" x14ac:dyDescent="0.2">
      <c r="A1309" s="1" t="s">
        <v>3031</v>
      </c>
    </row>
    <row r="1310" spans="1:1" x14ac:dyDescent="0.2">
      <c r="A1310" s="1" t="s">
        <v>3031</v>
      </c>
    </row>
    <row r="1311" spans="1:1" x14ac:dyDescent="0.2">
      <c r="A1311" s="1" t="s">
        <v>3031</v>
      </c>
    </row>
    <row r="1312" spans="1:1" x14ac:dyDescent="0.2">
      <c r="A1312" s="1" t="s">
        <v>3031</v>
      </c>
    </row>
    <row r="1313" spans="1:1" x14ac:dyDescent="0.2">
      <c r="A1313" s="1" t="s">
        <v>3031</v>
      </c>
    </row>
    <row r="1314" spans="1:1" x14ac:dyDescent="0.2">
      <c r="A1314" s="1" t="s">
        <v>3031</v>
      </c>
    </row>
    <row r="1315" spans="1:1" x14ac:dyDescent="0.2">
      <c r="A1315" s="1" t="s">
        <v>3031</v>
      </c>
    </row>
    <row r="1316" spans="1:1" x14ac:dyDescent="0.2">
      <c r="A1316" s="1" t="s">
        <v>3031</v>
      </c>
    </row>
    <row r="1317" spans="1:1" x14ac:dyDescent="0.2">
      <c r="A1317" s="1" t="s">
        <v>3031</v>
      </c>
    </row>
    <row r="1318" spans="1:1" x14ac:dyDescent="0.2">
      <c r="A1318" s="1" t="s">
        <v>3031</v>
      </c>
    </row>
    <row r="1319" spans="1:1" x14ac:dyDescent="0.2">
      <c r="A1319" s="1" t="s">
        <v>3031</v>
      </c>
    </row>
    <row r="1320" spans="1:1" x14ac:dyDescent="0.2">
      <c r="A1320" s="1" t="s">
        <v>3031</v>
      </c>
    </row>
    <row r="1321" spans="1:1" x14ac:dyDescent="0.2">
      <c r="A1321" s="1" t="s">
        <v>3031</v>
      </c>
    </row>
    <row r="1322" spans="1:1" x14ac:dyDescent="0.2">
      <c r="A1322" s="1" t="s">
        <v>3031</v>
      </c>
    </row>
    <row r="1323" spans="1:1" x14ac:dyDescent="0.2">
      <c r="A1323" s="1" t="s">
        <v>3031</v>
      </c>
    </row>
    <row r="1324" spans="1:1" x14ac:dyDescent="0.2">
      <c r="A1324" s="1" t="s">
        <v>3031</v>
      </c>
    </row>
    <row r="1325" spans="1:1" x14ac:dyDescent="0.2">
      <c r="A1325" s="1" t="s">
        <v>3031</v>
      </c>
    </row>
    <row r="1326" spans="1:1" x14ac:dyDescent="0.2">
      <c r="A1326" s="1" t="s">
        <v>3031</v>
      </c>
    </row>
    <row r="1327" spans="1:1" x14ac:dyDescent="0.2">
      <c r="A1327" s="1" t="s">
        <v>3031</v>
      </c>
    </row>
    <row r="1328" spans="1:1" x14ac:dyDescent="0.2">
      <c r="A1328" s="1" t="s">
        <v>3031</v>
      </c>
    </row>
    <row r="1329" spans="1:1" x14ac:dyDescent="0.2">
      <c r="A1329" s="1" t="s">
        <v>3031</v>
      </c>
    </row>
    <row r="1330" spans="1:1" x14ac:dyDescent="0.2">
      <c r="A1330" s="1" t="s">
        <v>3031</v>
      </c>
    </row>
    <row r="1331" spans="1:1" x14ac:dyDescent="0.2">
      <c r="A1331" s="1" t="s">
        <v>3031</v>
      </c>
    </row>
    <row r="1332" spans="1:1" x14ac:dyDescent="0.2">
      <c r="A1332" s="1" t="s">
        <v>3031</v>
      </c>
    </row>
    <row r="1333" spans="1:1" x14ac:dyDescent="0.2">
      <c r="A1333" s="1" t="s">
        <v>3031</v>
      </c>
    </row>
    <row r="1334" spans="1:1" x14ac:dyDescent="0.2">
      <c r="A1334" s="1" t="s">
        <v>3031</v>
      </c>
    </row>
    <row r="1335" spans="1:1" x14ac:dyDescent="0.2">
      <c r="A1335" s="1" t="s">
        <v>3031</v>
      </c>
    </row>
    <row r="1336" spans="1:1" x14ac:dyDescent="0.2">
      <c r="A1336" s="1" t="s">
        <v>3031</v>
      </c>
    </row>
    <row r="1337" spans="1:1" x14ac:dyDescent="0.2">
      <c r="A1337" s="1" t="s">
        <v>3031</v>
      </c>
    </row>
    <row r="1338" spans="1:1" x14ac:dyDescent="0.2">
      <c r="A1338" s="1" t="s">
        <v>3031</v>
      </c>
    </row>
    <row r="1339" spans="1:1" x14ac:dyDescent="0.2">
      <c r="A1339" s="1" t="s">
        <v>3031</v>
      </c>
    </row>
    <row r="1340" spans="1:1" x14ac:dyDescent="0.2">
      <c r="A1340" s="1" t="s">
        <v>3031</v>
      </c>
    </row>
    <row r="1341" spans="1:1" x14ac:dyDescent="0.2">
      <c r="A1341" s="1" t="s">
        <v>3031</v>
      </c>
    </row>
    <row r="1342" spans="1:1" x14ac:dyDescent="0.2">
      <c r="A1342" s="1" t="s">
        <v>3031</v>
      </c>
    </row>
    <row r="1343" spans="1:1" x14ac:dyDescent="0.2">
      <c r="A1343" s="1" t="s">
        <v>3031</v>
      </c>
    </row>
    <row r="1344" spans="1:1" x14ac:dyDescent="0.2">
      <c r="A1344" s="1" t="s">
        <v>3031</v>
      </c>
    </row>
    <row r="1345" spans="1:1" x14ac:dyDescent="0.2">
      <c r="A1345" s="1" t="s">
        <v>3031</v>
      </c>
    </row>
    <row r="1346" spans="1:1" x14ac:dyDescent="0.2">
      <c r="A1346" s="1" t="s">
        <v>3031</v>
      </c>
    </row>
    <row r="1347" spans="1:1" x14ac:dyDescent="0.2">
      <c r="A1347" s="1" t="s">
        <v>3031</v>
      </c>
    </row>
    <row r="1348" spans="1:1" x14ac:dyDescent="0.2">
      <c r="A1348" s="1" t="s">
        <v>3031</v>
      </c>
    </row>
    <row r="1349" spans="1:1" x14ac:dyDescent="0.2">
      <c r="A1349" s="1" t="s">
        <v>3031</v>
      </c>
    </row>
    <row r="1350" spans="1:1" x14ac:dyDescent="0.2">
      <c r="A1350" s="1" t="s">
        <v>3031</v>
      </c>
    </row>
    <row r="1351" spans="1:1" x14ac:dyDescent="0.2">
      <c r="A1351" s="1" t="s">
        <v>3031</v>
      </c>
    </row>
    <row r="1352" spans="1:1" x14ac:dyDescent="0.2">
      <c r="A1352" s="1" t="s">
        <v>3031</v>
      </c>
    </row>
    <row r="1353" spans="1:1" x14ac:dyDescent="0.2">
      <c r="A1353" s="1" t="s">
        <v>3031</v>
      </c>
    </row>
    <row r="1354" spans="1:1" x14ac:dyDescent="0.2">
      <c r="A1354" s="1" t="s">
        <v>3031</v>
      </c>
    </row>
    <row r="1355" spans="1:1" x14ac:dyDescent="0.2">
      <c r="A1355" s="1" t="s">
        <v>3031</v>
      </c>
    </row>
    <row r="1356" spans="1:1" x14ac:dyDescent="0.2">
      <c r="A1356" s="1" t="s">
        <v>3031</v>
      </c>
    </row>
    <row r="1357" spans="1:1" x14ac:dyDescent="0.2">
      <c r="A1357" s="1" t="s">
        <v>3031</v>
      </c>
    </row>
    <row r="1358" spans="1:1" x14ac:dyDescent="0.2">
      <c r="A1358" s="1" t="s">
        <v>3031</v>
      </c>
    </row>
    <row r="1359" spans="1:1" x14ac:dyDescent="0.2">
      <c r="A1359" s="1" t="s">
        <v>3031</v>
      </c>
    </row>
    <row r="1360" spans="1:1" x14ac:dyDescent="0.2">
      <c r="A1360" s="1" t="s">
        <v>3031</v>
      </c>
    </row>
    <row r="1361" spans="1:1" x14ac:dyDescent="0.2">
      <c r="A1361" s="1" t="s">
        <v>3031</v>
      </c>
    </row>
    <row r="1362" spans="1:1" x14ac:dyDescent="0.2">
      <c r="A1362" s="1" t="s">
        <v>3031</v>
      </c>
    </row>
    <row r="1363" spans="1:1" x14ac:dyDescent="0.2">
      <c r="A1363" s="1" t="s">
        <v>3031</v>
      </c>
    </row>
    <row r="1364" spans="1:1" x14ac:dyDescent="0.2">
      <c r="A1364" s="1" t="s">
        <v>3031</v>
      </c>
    </row>
    <row r="1365" spans="1:1" x14ac:dyDescent="0.2">
      <c r="A1365" s="1" t="s">
        <v>3031</v>
      </c>
    </row>
    <row r="1366" spans="1:1" x14ac:dyDescent="0.2">
      <c r="A1366" s="1" t="s">
        <v>3031</v>
      </c>
    </row>
    <row r="1367" spans="1:1" x14ac:dyDescent="0.2">
      <c r="A1367" s="1" t="s">
        <v>3031</v>
      </c>
    </row>
    <row r="1368" spans="1:1" x14ac:dyDescent="0.2">
      <c r="A1368" s="1" t="s">
        <v>3031</v>
      </c>
    </row>
    <row r="1369" spans="1:1" x14ac:dyDescent="0.2">
      <c r="A1369" s="1" t="s">
        <v>3031</v>
      </c>
    </row>
    <row r="1370" spans="1:1" x14ac:dyDescent="0.2">
      <c r="A1370" s="1" t="s">
        <v>3031</v>
      </c>
    </row>
    <row r="1371" spans="1:1" x14ac:dyDescent="0.2">
      <c r="A1371" s="1" t="s">
        <v>3031</v>
      </c>
    </row>
    <row r="1372" spans="1:1" x14ac:dyDescent="0.2">
      <c r="A1372" s="1" t="s">
        <v>3031</v>
      </c>
    </row>
    <row r="1373" spans="1:1" x14ac:dyDescent="0.2">
      <c r="A1373" s="1" t="s">
        <v>3031</v>
      </c>
    </row>
    <row r="1374" spans="1:1" x14ac:dyDescent="0.2">
      <c r="A1374" s="1" t="s">
        <v>3031</v>
      </c>
    </row>
    <row r="1375" spans="1:1" x14ac:dyDescent="0.2">
      <c r="A1375" s="1" t="s">
        <v>3031</v>
      </c>
    </row>
    <row r="1376" spans="1:1" x14ac:dyDescent="0.2">
      <c r="A1376" s="1" t="s">
        <v>3031</v>
      </c>
    </row>
    <row r="1377" spans="1:1" x14ac:dyDescent="0.2">
      <c r="A1377" s="1" t="s">
        <v>3031</v>
      </c>
    </row>
    <row r="1378" spans="1:1" x14ac:dyDescent="0.2">
      <c r="A1378" s="1" t="s">
        <v>3031</v>
      </c>
    </row>
    <row r="1379" spans="1:1" x14ac:dyDescent="0.2">
      <c r="A1379" s="1" t="s">
        <v>3031</v>
      </c>
    </row>
    <row r="1380" spans="1:1" x14ac:dyDescent="0.2">
      <c r="A1380" s="1" t="s">
        <v>3031</v>
      </c>
    </row>
    <row r="1381" spans="1:1" x14ac:dyDescent="0.2">
      <c r="A1381" s="1" t="s">
        <v>3031</v>
      </c>
    </row>
    <row r="1382" spans="1:1" x14ac:dyDescent="0.2">
      <c r="A1382" s="1" t="s">
        <v>3031</v>
      </c>
    </row>
    <row r="1383" spans="1:1" x14ac:dyDescent="0.2">
      <c r="A1383" s="1" t="s">
        <v>3031</v>
      </c>
    </row>
    <row r="1384" spans="1:1" x14ac:dyDescent="0.2">
      <c r="A1384" s="1" t="s">
        <v>3031</v>
      </c>
    </row>
    <row r="1385" spans="1:1" x14ac:dyDescent="0.2">
      <c r="A1385" s="1" t="s">
        <v>3031</v>
      </c>
    </row>
    <row r="1386" spans="1:1" x14ac:dyDescent="0.2">
      <c r="A1386" s="1" t="s">
        <v>3031</v>
      </c>
    </row>
    <row r="1387" spans="1:1" x14ac:dyDescent="0.2">
      <c r="A1387" s="1" t="s">
        <v>3031</v>
      </c>
    </row>
    <row r="1388" spans="1:1" x14ac:dyDescent="0.2">
      <c r="A1388" s="1" t="s">
        <v>3031</v>
      </c>
    </row>
    <row r="1389" spans="1:1" x14ac:dyDescent="0.2">
      <c r="A1389" s="1" t="s">
        <v>3031</v>
      </c>
    </row>
    <row r="1390" spans="1:1" x14ac:dyDescent="0.2">
      <c r="A1390" s="1" t="s">
        <v>3031</v>
      </c>
    </row>
    <row r="1391" spans="1:1" x14ac:dyDescent="0.2">
      <c r="A1391" s="1" t="s">
        <v>3031</v>
      </c>
    </row>
    <row r="1392" spans="1:1" x14ac:dyDescent="0.2">
      <c r="A1392" s="1" t="s">
        <v>3031</v>
      </c>
    </row>
    <row r="1393" spans="1:1" x14ac:dyDescent="0.2">
      <c r="A1393" s="1" t="s">
        <v>3031</v>
      </c>
    </row>
    <row r="1394" spans="1:1" x14ac:dyDescent="0.2">
      <c r="A1394" s="1" t="s">
        <v>3031</v>
      </c>
    </row>
    <row r="1395" spans="1:1" x14ac:dyDescent="0.2">
      <c r="A1395" s="1" t="s">
        <v>3031</v>
      </c>
    </row>
    <row r="1396" spans="1:1" x14ac:dyDescent="0.2">
      <c r="A1396" s="1" t="s">
        <v>3031</v>
      </c>
    </row>
    <row r="1397" spans="1:1" x14ac:dyDescent="0.2">
      <c r="A1397" s="1" t="s">
        <v>3031</v>
      </c>
    </row>
    <row r="1398" spans="1:1" x14ac:dyDescent="0.2">
      <c r="A1398" s="1" t="s">
        <v>3031</v>
      </c>
    </row>
    <row r="1399" spans="1:1" x14ac:dyDescent="0.2">
      <c r="A1399" s="1" t="s">
        <v>3031</v>
      </c>
    </row>
    <row r="1400" spans="1:1" x14ac:dyDescent="0.2">
      <c r="A1400" s="1" t="s">
        <v>3031</v>
      </c>
    </row>
    <row r="1401" spans="1:1" x14ac:dyDescent="0.2">
      <c r="A1401" s="1" t="s">
        <v>3031</v>
      </c>
    </row>
    <row r="1402" spans="1:1" x14ac:dyDescent="0.2">
      <c r="A1402" s="1" t="s">
        <v>3031</v>
      </c>
    </row>
    <row r="1403" spans="1:1" x14ac:dyDescent="0.2">
      <c r="A1403" s="1" t="s">
        <v>3031</v>
      </c>
    </row>
    <row r="1404" spans="1:1" x14ac:dyDescent="0.2">
      <c r="A1404" s="1" t="s">
        <v>3031</v>
      </c>
    </row>
    <row r="1405" spans="1:1" x14ac:dyDescent="0.2">
      <c r="A1405" s="1" t="s">
        <v>3031</v>
      </c>
    </row>
    <row r="1406" spans="1:1" x14ac:dyDescent="0.2">
      <c r="A1406" s="1" t="s">
        <v>3031</v>
      </c>
    </row>
    <row r="1407" spans="1:1" x14ac:dyDescent="0.2">
      <c r="A1407" s="1" t="s">
        <v>3031</v>
      </c>
    </row>
    <row r="1408" spans="1:1" x14ac:dyDescent="0.2">
      <c r="A1408" s="1" t="s">
        <v>3031</v>
      </c>
    </row>
    <row r="1409" spans="1:1" x14ac:dyDescent="0.2">
      <c r="A1409" s="1" t="s">
        <v>3031</v>
      </c>
    </row>
    <row r="1410" spans="1:1" x14ac:dyDescent="0.2">
      <c r="A1410" s="1" t="s">
        <v>3031</v>
      </c>
    </row>
    <row r="1411" spans="1:1" x14ac:dyDescent="0.2">
      <c r="A1411" s="1" t="s">
        <v>3031</v>
      </c>
    </row>
    <row r="1412" spans="1:1" x14ac:dyDescent="0.2">
      <c r="A1412" s="1" t="s">
        <v>3031</v>
      </c>
    </row>
    <row r="1413" spans="1:1" x14ac:dyDescent="0.2">
      <c r="A1413" s="1" t="s">
        <v>3031</v>
      </c>
    </row>
    <row r="1414" spans="1:1" x14ac:dyDescent="0.2">
      <c r="A1414" s="1" t="s">
        <v>3031</v>
      </c>
    </row>
    <row r="1415" spans="1:1" x14ac:dyDescent="0.2">
      <c r="A1415" s="1" t="s">
        <v>3031</v>
      </c>
    </row>
    <row r="1416" spans="1:1" x14ac:dyDescent="0.2">
      <c r="A1416" s="1" t="s">
        <v>3031</v>
      </c>
    </row>
    <row r="1417" spans="1:1" x14ac:dyDescent="0.2">
      <c r="A1417" s="1" t="s">
        <v>3031</v>
      </c>
    </row>
    <row r="1418" spans="1:1" x14ac:dyDescent="0.2">
      <c r="A1418" s="1" t="s">
        <v>3031</v>
      </c>
    </row>
    <row r="1419" spans="1:1" x14ac:dyDescent="0.2">
      <c r="A1419" s="1" t="s">
        <v>3031</v>
      </c>
    </row>
    <row r="1420" spans="1:1" x14ac:dyDescent="0.2">
      <c r="A1420" s="1" t="s">
        <v>3031</v>
      </c>
    </row>
    <row r="1421" spans="1:1" x14ac:dyDescent="0.2">
      <c r="A1421" s="1" t="s">
        <v>3031</v>
      </c>
    </row>
    <row r="1422" spans="1:1" x14ac:dyDescent="0.2">
      <c r="A1422" s="1" t="s">
        <v>3031</v>
      </c>
    </row>
    <row r="1423" spans="1:1" x14ac:dyDescent="0.2">
      <c r="A1423" s="1" t="s">
        <v>3031</v>
      </c>
    </row>
    <row r="1424" spans="1:1" x14ac:dyDescent="0.2">
      <c r="A1424" s="1" t="s">
        <v>3031</v>
      </c>
    </row>
    <row r="1425" spans="1:1" x14ac:dyDescent="0.2">
      <c r="A1425" s="1" t="s">
        <v>3031</v>
      </c>
    </row>
    <row r="1426" spans="1:1" x14ac:dyDescent="0.2">
      <c r="A1426" s="1" t="s">
        <v>3031</v>
      </c>
    </row>
    <row r="1427" spans="1:1" x14ac:dyDescent="0.2">
      <c r="A1427" s="1" t="s">
        <v>3031</v>
      </c>
    </row>
    <row r="1428" spans="1:1" x14ac:dyDescent="0.2">
      <c r="A1428" s="1" t="s">
        <v>3031</v>
      </c>
    </row>
    <row r="1429" spans="1:1" x14ac:dyDescent="0.2">
      <c r="A1429" s="1" t="s">
        <v>3031</v>
      </c>
    </row>
    <row r="1430" spans="1:1" x14ac:dyDescent="0.2">
      <c r="A1430" s="1" t="s">
        <v>3031</v>
      </c>
    </row>
    <row r="1431" spans="1:1" x14ac:dyDescent="0.2">
      <c r="A1431" s="1" t="s">
        <v>3031</v>
      </c>
    </row>
    <row r="1432" spans="1:1" x14ac:dyDescent="0.2">
      <c r="A1432" s="1" t="s">
        <v>3031</v>
      </c>
    </row>
    <row r="1433" spans="1:1" x14ac:dyDescent="0.2">
      <c r="A1433" s="1" t="s">
        <v>3031</v>
      </c>
    </row>
    <row r="1434" spans="1:1" x14ac:dyDescent="0.2">
      <c r="A1434" s="1" t="s">
        <v>3031</v>
      </c>
    </row>
    <row r="1435" spans="1:1" x14ac:dyDescent="0.2">
      <c r="A1435" s="1" t="s">
        <v>3031</v>
      </c>
    </row>
    <row r="1436" spans="1:1" x14ac:dyDescent="0.2">
      <c r="A1436" s="1" t="s">
        <v>3031</v>
      </c>
    </row>
    <row r="1437" spans="1:1" x14ac:dyDescent="0.2">
      <c r="A1437" s="1" t="s">
        <v>3031</v>
      </c>
    </row>
    <row r="1438" spans="1:1" x14ac:dyDescent="0.2">
      <c r="A1438" s="1" t="s">
        <v>3031</v>
      </c>
    </row>
    <row r="1439" spans="1:1" x14ac:dyDescent="0.2">
      <c r="A1439" s="1" t="s">
        <v>3031</v>
      </c>
    </row>
    <row r="1440" spans="1:1" x14ac:dyDescent="0.2">
      <c r="A1440" s="1" t="s">
        <v>3031</v>
      </c>
    </row>
    <row r="1441" spans="1:1" x14ac:dyDescent="0.2">
      <c r="A1441" s="1" t="s">
        <v>3031</v>
      </c>
    </row>
    <row r="1442" spans="1:1" x14ac:dyDescent="0.2">
      <c r="A1442" s="1" t="s">
        <v>3031</v>
      </c>
    </row>
    <row r="1443" spans="1:1" x14ac:dyDescent="0.2">
      <c r="A1443" s="1" t="s">
        <v>3031</v>
      </c>
    </row>
    <row r="1444" spans="1:1" x14ac:dyDescent="0.2">
      <c r="A1444" s="1" t="s">
        <v>3031</v>
      </c>
    </row>
    <row r="1445" spans="1:1" x14ac:dyDescent="0.2">
      <c r="A1445" s="1" t="s">
        <v>3031</v>
      </c>
    </row>
    <row r="1446" spans="1:1" x14ac:dyDescent="0.2">
      <c r="A1446" s="1" t="s">
        <v>3031</v>
      </c>
    </row>
    <row r="1447" spans="1:1" x14ac:dyDescent="0.2">
      <c r="A1447" s="1" t="s">
        <v>3031</v>
      </c>
    </row>
    <row r="1448" spans="1:1" x14ac:dyDescent="0.2">
      <c r="A1448" s="1" t="s">
        <v>3031</v>
      </c>
    </row>
    <row r="1449" spans="1:1" x14ac:dyDescent="0.2">
      <c r="A1449" s="1" t="s">
        <v>3031</v>
      </c>
    </row>
    <row r="1450" spans="1:1" x14ac:dyDescent="0.2">
      <c r="A1450" s="1" t="s">
        <v>3031</v>
      </c>
    </row>
    <row r="1451" spans="1:1" x14ac:dyDescent="0.2">
      <c r="A1451" s="1" t="s">
        <v>3031</v>
      </c>
    </row>
    <row r="1452" spans="1:1" x14ac:dyDescent="0.2">
      <c r="A1452" s="1" t="s">
        <v>3031</v>
      </c>
    </row>
    <row r="1453" spans="1:1" x14ac:dyDescent="0.2">
      <c r="A1453" s="1" t="s">
        <v>3031</v>
      </c>
    </row>
    <row r="1454" spans="1:1" x14ac:dyDescent="0.2">
      <c r="A1454" s="1" t="s">
        <v>3031</v>
      </c>
    </row>
    <row r="1455" spans="1:1" x14ac:dyDescent="0.2">
      <c r="A1455" s="1" t="s">
        <v>3031</v>
      </c>
    </row>
    <row r="1456" spans="1:1" x14ac:dyDescent="0.2">
      <c r="A1456" s="1" t="s">
        <v>3031</v>
      </c>
    </row>
    <row r="1457" spans="1:1" x14ac:dyDescent="0.2">
      <c r="A1457" s="1" t="s">
        <v>3031</v>
      </c>
    </row>
    <row r="1458" spans="1:1" x14ac:dyDescent="0.2">
      <c r="A1458" s="1" t="s">
        <v>3031</v>
      </c>
    </row>
    <row r="1459" spans="1:1" x14ac:dyDescent="0.2">
      <c r="A1459" s="1" t="s">
        <v>3031</v>
      </c>
    </row>
    <row r="1460" spans="1:1" x14ac:dyDescent="0.2">
      <c r="A1460" s="1" t="s">
        <v>3031</v>
      </c>
    </row>
    <row r="1461" spans="1:1" x14ac:dyDescent="0.2">
      <c r="A1461" s="1" t="s">
        <v>3031</v>
      </c>
    </row>
    <row r="1462" spans="1:1" x14ac:dyDescent="0.2">
      <c r="A1462" s="1" t="s">
        <v>3031</v>
      </c>
    </row>
    <row r="1463" spans="1:1" x14ac:dyDescent="0.2">
      <c r="A1463" s="1" t="s">
        <v>3031</v>
      </c>
    </row>
    <row r="1464" spans="1:1" x14ac:dyDescent="0.2">
      <c r="A1464" s="1" t="s">
        <v>3031</v>
      </c>
    </row>
    <row r="1465" spans="1:1" x14ac:dyDescent="0.2">
      <c r="A1465" s="1" t="s">
        <v>3031</v>
      </c>
    </row>
    <row r="1466" spans="1:1" x14ac:dyDescent="0.2">
      <c r="A1466" s="1" t="s">
        <v>3031</v>
      </c>
    </row>
    <row r="1467" spans="1:1" x14ac:dyDescent="0.2">
      <c r="A1467" s="1" t="s">
        <v>3031</v>
      </c>
    </row>
    <row r="1468" spans="1:1" x14ac:dyDescent="0.2">
      <c r="A1468" s="1" t="s">
        <v>3031</v>
      </c>
    </row>
    <row r="1469" spans="1:1" x14ac:dyDescent="0.2">
      <c r="A1469" s="1" t="s">
        <v>3031</v>
      </c>
    </row>
    <row r="1470" spans="1:1" x14ac:dyDescent="0.2">
      <c r="A1470" s="1" t="s">
        <v>3031</v>
      </c>
    </row>
    <row r="1471" spans="1:1" x14ac:dyDescent="0.2">
      <c r="A1471" s="1" t="s">
        <v>3031</v>
      </c>
    </row>
    <row r="1472" spans="1:1" x14ac:dyDescent="0.2">
      <c r="A1472" s="1" t="s">
        <v>3031</v>
      </c>
    </row>
    <row r="1473" spans="1:1" x14ac:dyDescent="0.2">
      <c r="A1473" s="1" t="s">
        <v>3031</v>
      </c>
    </row>
    <row r="1474" spans="1:1" x14ac:dyDescent="0.2">
      <c r="A1474" s="1" t="s">
        <v>3031</v>
      </c>
    </row>
    <row r="1475" spans="1:1" x14ac:dyDescent="0.2">
      <c r="A1475" s="1" t="s">
        <v>3031</v>
      </c>
    </row>
    <row r="1476" spans="1:1" x14ac:dyDescent="0.2">
      <c r="A1476" s="1" t="s">
        <v>3031</v>
      </c>
    </row>
    <row r="1477" spans="1:1" x14ac:dyDescent="0.2">
      <c r="A1477" s="1" t="s">
        <v>3031</v>
      </c>
    </row>
    <row r="1478" spans="1:1" x14ac:dyDescent="0.2">
      <c r="A1478" s="1" t="s">
        <v>3031</v>
      </c>
    </row>
    <row r="1479" spans="1:1" x14ac:dyDescent="0.2">
      <c r="A1479" s="1" t="s">
        <v>3031</v>
      </c>
    </row>
    <row r="1480" spans="1:1" x14ac:dyDescent="0.2">
      <c r="A1480" s="1" t="s">
        <v>3031</v>
      </c>
    </row>
    <row r="1481" spans="1:1" x14ac:dyDescent="0.2">
      <c r="A1481" s="1" t="s">
        <v>3031</v>
      </c>
    </row>
    <row r="1482" spans="1:1" x14ac:dyDescent="0.2">
      <c r="A1482" s="1" t="s">
        <v>3031</v>
      </c>
    </row>
    <row r="1483" spans="1:1" x14ac:dyDescent="0.2">
      <c r="A1483" s="1" t="s">
        <v>3031</v>
      </c>
    </row>
    <row r="1484" spans="1:1" x14ac:dyDescent="0.2">
      <c r="A1484" s="1" t="s">
        <v>3031</v>
      </c>
    </row>
    <row r="1485" spans="1:1" x14ac:dyDescent="0.2">
      <c r="A1485" s="1" t="s">
        <v>3031</v>
      </c>
    </row>
    <row r="1486" spans="1:1" x14ac:dyDescent="0.2">
      <c r="A1486" s="1" t="s">
        <v>3031</v>
      </c>
    </row>
    <row r="1487" spans="1:1" x14ac:dyDescent="0.2">
      <c r="A1487" s="1" t="s">
        <v>3031</v>
      </c>
    </row>
    <row r="1488" spans="1:1" x14ac:dyDescent="0.2">
      <c r="A1488" s="1" t="s">
        <v>3031</v>
      </c>
    </row>
    <row r="1489" spans="1:1" x14ac:dyDescent="0.2">
      <c r="A1489" s="1" t="s">
        <v>3031</v>
      </c>
    </row>
    <row r="1490" spans="1:1" x14ac:dyDescent="0.2">
      <c r="A1490" s="1" t="s">
        <v>3031</v>
      </c>
    </row>
    <row r="1491" spans="1:1" x14ac:dyDescent="0.2">
      <c r="A1491" s="1" t="s">
        <v>3031</v>
      </c>
    </row>
    <row r="1492" spans="1:1" x14ac:dyDescent="0.2">
      <c r="A1492" s="1" t="s">
        <v>3031</v>
      </c>
    </row>
    <row r="1493" spans="1:1" x14ac:dyDescent="0.2">
      <c r="A1493" s="1" t="s">
        <v>3031</v>
      </c>
    </row>
    <row r="1494" spans="1:1" x14ac:dyDescent="0.2">
      <c r="A1494" s="1" t="s">
        <v>3031</v>
      </c>
    </row>
    <row r="1495" spans="1:1" x14ac:dyDescent="0.2">
      <c r="A1495" s="1" t="s">
        <v>3031</v>
      </c>
    </row>
    <row r="1496" spans="1:1" x14ac:dyDescent="0.2">
      <c r="A1496" s="1" t="s">
        <v>3031</v>
      </c>
    </row>
    <row r="1497" spans="1:1" x14ac:dyDescent="0.2">
      <c r="A1497" s="1" t="s">
        <v>3031</v>
      </c>
    </row>
    <row r="1498" spans="1:1" x14ac:dyDescent="0.2">
      <c r="A1498" s="1" t="s">
        <v>3031</v>
      </c>
    </row>
    <row r="1499" spans="1:1" x14ac:dyDescent="0.2">
      <c r="A1499" s="1" t="s">
        <v>3031</v>
      </c>
    </row>
    <row r="1500" spans="1:1" x14ac:dyDescent="0.2">
      <c r="A1500" s="1" t="s">
        <v>3031</v>
      </c>
    </row>
    <row r="1501" spans="1:1" x14ac:dyDescent="0.2">
      <c r="A1501" s="1" t="s">
        <v>3031</v>
      </c>
    </row>
    <row r="1502" spans="1:1" x14ac:dyDescent="0.2">
      <c r="A1502" s="1" t="s">
        <v>3031</v>
      </c>
    </row>
    <row r="1503" spans="1:1" x14ac:dyDescent="0.2">
      <c r="A1503" s="1" t="s">
        <v>3031</v>
      </c>
    </row>
    <row r="1504" spans="1:1" x14ac:dyDescent="0.2">
      <c r="A1504" s="1" t="s">
        <v>3031</v>
      </c>
    </row>
    <row r="1505" spans="1:1" x14ac:dyDescent="0.2">
      <c r="A1505" s="1" t="s">
        <v>3031</v>
      </c>
    </row>
    <row r="1506" spans="1:1" x14ac:dyDescent="0.2">
      <c r="A1506" s="1" t="s">
        <v>3031</v>
      </c>
    </row>
    <row r="1507" spans="1:1" x14ac:dyDescent="0.2">
      <c r="A1507" s="1" t="s">
        <v>3031</v>
      </c>
    </row>
    <row r="1508" spans="1:1" x14ac:dyDescent="0.2">
      <c r="A1508" s="1" t="s">
        <v>3031</v>
      </c>
    </row>
    <row r="1509" spans="1:1" x14ac:dyDescent="0.2">
      <c r="A1509" s="1" t="s">
        <v>3031</v>
      </c>
    </row>
    <row r="1510" spans="1:1" x14ac:dyDescent="0.2">
      <c r="A1510" s="1" t="s">
        <v>3031</v>
      </c>
    </row>
    <row r="1511" spans="1:1" x14ac:dyDescent="0.2">
      <c r="A1511" s="1" t="s">
        <v>3031</v>
      </c>
    </row>
    <row r="1512" spans="1:1" x14ac:dyDescent="0.2">
      <c r="A1512" s="1" t="s">
        <v>3031</v>
      </c>
    </row>
    <row r="1513" spans="1:1" x14ac:dyDescent="0.2">
      <c r="A1513" s="1" t="s">
        <v>3031</v>
      </c>
    </row>
    <row r="1514" spans="1:1" x14ac:dyDescent="0.2">
      <c r="A1514" s="1" t="s">
        <v>3031</v>
      </c>
    </row>
    <row r="1515" spans="1:1" x14ac:dyDescent="0.2">
      <c r="A1515" s="1" t="s">
        <v>3031</v>
      </c>
    </row>
    <row r="1516" spans="1:1" x14ac:dyDescent="0.2">
      <c r="A1516" s="1" t="s">
        <v>3031</v>
      </c>
    </row>
    <row r="1517" spans="1:1" x14ac:dyDescent="0.2">
      <c r="A1517" s="1" t="s">
        <v>3031</v>
      </c>
    </row>
    <row r="1518" spans="1:1" x14ac:dyDescent="0.2">
      <c r="A1518" s="1" t="s">
        <v>3031</v>
      </c>
    </row>
    <row r="1519" spans="1:1" x14ac:dyDescent="0.2">
      <c r="A1519" s="1" t="s">
        <v>3031</v>
      </c>
    </row>
    <row r="1520" spans="1:1" x14ac:dyDescent="0.2">
      <c r="A1520" s="1" t="s">
        <v>3031</v>
      </c>
    </row>
    <row r="1521" spans="1:1" x14ac:dyDescent="0.2">
      <c r="A1521" s="1" t="s">
        <v>3031</v>
      </c>
    </row>
    <row r="1522" spans="1:1" x14ac:dyDescent="0.2">
      <c r="A1522" s="1" t="s">
        <v>3031</v>
      </c>
    </row>
    <row r="1523" spans="1:1" x14ac:dyDescent="0.2">
      <c r="A1523" s="1" t="s">
        <v>3031</v>
      </c>
    </row>
    <row r="1524" spans="1:1" x14ac:dyDescent="0.2">
      <c r="A1524" s="1" t="s">
        <v>3031</v>
      </c>
    </row>
    <row r="1525" spans="1:1" x14ac:dyDescent="0.2">
      <c r="A1525" s="1" t="s">
        <v>3031</v>
      </c>
    </row>
    <row r="1526" spans="1:1" x14ac:dyDescent="0.2">
      <c r="A1526" s="1" t="s">
        <v>3031</v>
      </c>
    </row>
    <row r="1527" spans="1:1" x14ac:dyDescent="0.2">
      <c r="A1527" s="1" t="s">
        <v>3031</v>
      </c>
    </row>
    <row r="1528" spans="1:1" x14ac:dyDescent="0.2">
      <c r="A1528" s="1" t="s">
        <v>3031</v>
      </c>
    </row>
    <row r="1529" spans="1:1" x14ac:dyDescent="0.2">
      <c r="A1529" s="1" t="s">
        <v>3031</v>
      </c>
    </row>
    <row r="1530" spans="1:1" x14ac:dyDescent="0.2">
      <c r="A1530" s="1" t="s">
        <v>3031</v>
      </c>
    </row>
    <row r="1531" spans="1:1" x14ac:dyDescent="0.2">
      <c r="A1531" s="1" t="s">
        <v>3031</v>
      </c>
    </row>
    <row r="1532" spans="1:1" x14ac:dyDescent="0.2">
      <c r="A1532" s="1" t="s">
        <v>3031</v>
      </c>
    </row>
    <row r="1533" spans="1:1" x14ac:dyDescent="0.2">
      <c r="A1533" s="1" t="s">
        <v>3031</v>
      </c>
    </row>
    <row r="1534" spans="1:1" x14ac:dyDescent="0.2">
      <c r="A1534" s="1" t="s">
        <v>3031</v>
      </c>
    </row>
    <row r="1535" spans="1:1" x14ac:dyDescent="0.2">
      <c r="A1535" s="1" t="s">
        <v>3031</v>
      </c>
    </row>
    <row r="1536" spans="1:1" x14ac:dyDescent="0.2">
      <c r="A1536" s="1" t="s">
        <v>3031</v>
      </c>
    </row>
    <row r="1537" spans="1:1" x14ac:dyDescent="0.2">
      <c r="A1537" s="1" t="s">
        <v>3031</v>
      </c>
    </row>
    <row r="1538" spans="1:1" x14ac:dyDescent="0.2">
      <c r="A1538" s="1" t="s">
        <v>3031</v>
      </c>
    </row>
    <row r="1539" spans="1:1" x14ac:dyDescent="0.2">
      <c r="A1539" s="1" t="s">
        <v>3031</v>
      </c>
    </row>
    <row r="1540" spans="1:1" x14ac:dyDescent="0.2">
      <c r="A1540" s="1" t="s">
        <v>3031</v>
      </c>
    </row>
    <row r="1541" spans="1:1" x14ac:dyDescent="0.2">
      <c r="A1541" s="1" t="s">
        <v>3031</v>
      </c>
    </row>
    <row r="1542" spans="1:1" x14ac:dyDescent="0.2">
      <c r="A1542" s="1" t="s">
        <v>3031</v>
      </c>
    </row>
    <row r="1543" spans="1:1" x14ac:dyDescent="0.2">
      <c r="A1543" s="1" t="s">
        <v>3031</v>
      </c>
    </row>
    <row r="1544" spans="1:1" x14ac:dyDescent="0.2">
      <c r="A1544" s="1" t="s">
        <v>3031</v>
      </c>
    </row>
    <row r="1545" spans="1:1" x14ac:dyDescent="0.2">
      <c r="A1545" s="1" t="s">
        <v>3031</v>
      </c>
    </row>
    <row r="1546" spans="1:1" x14ac:dyDescent="0.2">
      <c r="A1546" s="1" t="s">
        <v>3031</v>
      </c>
    </row>
    <row r="1547" spans="1:1" x14ac:dyDescent="0.2">
      <c r="A1547" s="1" t="s">
        <v>3031</v>
      </c>
    </row>
    <row r="1548" spans="1:1" x14ac:dyDescent="0.2">
      <c r="A1548" s="1" t="s">
        <v>3031</v>
      </c>
    </row>
    <row r="1549" spans="1:1" x14ac:dyDescent="0.2">
      <c r="A1549" s="1" t="s">
        <v>3031</v>
      </c>
    </row>
    <row r="1550" spans="1:1" x14ac:dyDescent="0.2">
      <c r="A1550" s="1" t="s">
        <v>3031</v>
      </c>
    </row>
    <row r="1551" spans="1:1" x14ac:dyDescent="0.2">
      <c r="A1551" s="1" t="s">
        <v>3031</v>
      </c>
    </row>
    <row r="1552" spans="1:1" x14ac:dyDescent="0.2">
      <c r="A1552" s="1" t="s">
        <v>3031</v>
      </c>
    </row>
    <row r="1553" spans="1:1" x14ac:dyDescent="0.2">
      <c r="A1553" s="1" t="s">
        <v>3031</v>
      </c>
    </row>
    <row r="1554" spans="1:1" x14ac:dyDescent="0.2">
      <c r="A1554" s="1" t="s">
        <v>3031</v>
      </c>
    </row>
    <row r="1555" spans="1:1" x14ac:dyDescent="0.2">
      <c r="A1555" s="1" t="s">
        <v>3031</v>
      </c>
    </row>
    <row r="1556" spans="1:1" x14ac:dyDescent="0.2">
      <c r="A1556" s="1" t="s">
        <v>3031</v>
      </c>
    </row>
    <row r="1557" spans="1:1" x14ac:dyDescent="0.2">
      <c r="A1557" s="1" t="s">
        <v>3031</v>
      </c>
    </row>
    <row r="1558" spans="1:1" x14ac:dyDescent="0.2">
      <c r="A1558" s="1" t="s">
        <v>3031</v>
      </c>
    </row>
    <row r="1559" spans="1:1" x14ac:dyDescent="0.2">
      <c r="A1559" s="1" t="s">
        <v>3031</v>
      </c>
    </row>
    <row r="1560" spans="1:1" x14ac:dyDescent="0.2">
      <c r="A1560" s="1" t="s">
        <v>3031</v>
      </c>
    </row>
    <row r="1561" spans="1:1" x14ac:dyDescent="0.2">
      <c r="A1561" s="1" t="s">
        <v>3031</v>
      </c>
    </row>
    <row r="1562" spans="1:1" x14ac:dyDescent="0.2">
      <c r="A1562" s="1" t="s">
        <v>3031</v>
      </c>
    </row>
    <row r="1563" spans="1:1" x14ac:dyDescent="0.2">
      <c r="A1563" s="1" t="s">
        <v>3031</v>
      </c>
    </row>
    <row r="1564" spans="1:1" x14ac:dyDescent="0.2">
      <c r="A1564" s="1" t="s">
        <v>3031</v>
      </c>
    </row>
    <row r="1565" spans="1:1" x14ac:dyDescent="0.2">
      <c r="A1565" s="1" t="s">
        <v>3031</v>
      </c>
    </row>
    <row r="1566" spans="1:1" x14ac:dyDescent="0.2">
      <c r="A1566" s="1" t="s">
        <v>3031</v>
      </c>
    </row>
    <row r="1567" spans="1:1" x14ac:dyDescent="0.2">
      <c r="A1567" s="1" t="s">
        <v>3031</v>
      </c>
    </row>
    <row r="1568" spans="1:1" x14ac:dyDescent="0.2">
      <c r="A1568" s="1" t="s">
        <v>3031</v>
      </c>
    </row>
    <row r="1569" spans="1:1" x14ac:dyDescent="0.2">
      <c r="A1569" s="1" t="s">
        <v>3031</v>
      </c>
    </row>
    <row r="1570" spans="1:1" x14ac:dyDescent="0.2">
      <c r="A1570" s="1" t="s">
        <v>3031</v>
      </c>
    </row>
    <row r="1571" spans="1:1" x14ac:dyDescent="0.2">
      <c r="A1571" s="1" t="s">
        <v>3031</v>
      </c>
    </row>
    <row r="1572" spans="1:1" x14ac:dyDescent="0.2">
      <c r="A1572" s="1" t="s">
        <v>3031</v>
      </c>
    </row>
    <row r="1573" spans="1:1" x14ac:dyDescent="0.2">
      <c r="A1573" s="1" t="s">
        <v>3031</v>
      </c>
    </row>
    <row r="1574" spans="1:1" x14ac:dyDescent="0.2">
      <c r="A1574" s="1" t="s">
        <v>3031</v>
      </c>
    </row>
    <row r="1575" spans="1:1" x14ac:dyDescent="0.2">
      <c r="A1575" s="1" t="s">
        <v>3031</v>
      </c>
    </row>
    <row r="1576" spans="1:1" x14ac:dyDescent="0.2">
      <c r="A1576" s="1" t="s">
        <v>3031</v>
      </c>
    </row>
    <row r="1577" spans="1:1" x14ac:dyDescent="0.2">
      <c r="A1577" s="1" t="s">
        <v>3031</v>
      </c>
    </row>
    <row r="1578" spans="1:1" x14ac:dyDescent="0.2">
      <c r="A1578" s="1" t="s">
        <v>3031</v>
      </c>
    </row>
    <row r="1579" spans="1:1" x14ac:dyDescent="0.2">
      <c r="A1579" s="1" t="s">
        <v>3031</v>
      </c>
    </row>
    <row r="1580" spans="1:1" x14ac:dyDescent="0.2">
      <c r="A1580" s="1" t="s">
        <v>3031</v>
      </c>
    </row>
    <row r="1581" spans="1:1" x14ac:dyDescent="0.2">
      <c r="A1581" s="1" t="s">
        <v>3031</v>
      </c>
    </row>
    <row r="1582" spans="1:1" x14ac:dyDescent="0.2">
      <c r="A1582" s="1" t="s">
        <v>3031</v>
      </c>
    </row>
    <row r="1583" spans="1:1" x14ac:dyDescent="0.2">
      <c r="A1583" s="1" t="s">
        <v>3031</v>
      </c>
    </row>
    <row r="1584" spans="1:1" x14ac:dyDescent="0.2">
      <c r="A1584" s="1" t="s">
        <v>3031</v>
      </c>
    </row>
    <row r="1585" spans="1:1" x14ac:dyDescent="0.2">
      <c r="A1585" s="1" t="s">
        <v>3031</v>
      </c>
    </row>
    <row r="1586" spans="1:1" x14ac:dyDescent="0.2">
      <c r="A1586" s="1" t="s">
        <v>3031</v>
      </c>
    </row>
    <row r="1587" spans="1:1" x14ac:dyDescent="0.2">
      <c r="A1587" s="1" t="s">
        <v>3031</v>
      </c>
    </row>
    <row r="1588" spans="1:1" x14ac:dyDescent="0.2">
      <c r="A1588" s="1" t="s">
        <v>3031</v>
      </c>
    </row>
    <row r="1589" spans="1:1" x14ac:dyDescent="0.2">
      <c r="A1589" s="1" t="s">
        <v>3031</v>
      </c>
    </row>
    <row r="1590" spans="1:1" x14ac:dyDescent="0.2">
      <c r="A1590" s="1" t="s">
        <v>3031</v>
      </c>
    </row>
    <row r="1591" spans="1:1" x14ac:dyDescent="0.2">
      <c r="A1591" s="1" t="s">
        <v>3031</v>
      </c>
    </row>
    <row r="1592" spans="1:1" x14ac:dyDescent="0.2">
      <c r="A1592" s="1" t="s">
        <v>3031</v>
      </c>
    </row>
  </sheetData>
  <pageMargins left="0.78749999999999998" right="0.78749999999999998" top="1.05277777777778" bottom="1.05277777777778" header="0.78749999999999998" footer="0.78749999999999998"/>
  <pageSetup orientation="portrait" horizontalDpi="300" verticalDpi="300"/>
  <headerFooter>
    <oddHeader>&amp;C&amp;"Times New Roman,Обычный"&amp;12&amp;A</oddHeader>
    <oddFooter>&amp;C&amp;"Times New Roman,Обычный"&amp;12Page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29"/>
  <sheetViews>
    <sheetView topLeftCell="A586" zoomScaleNormal="100" workbookViewId="0">
      <selection activeCell="D615" sqref="D615"/>
    </sheetView>
  </sheetViews>
  <sheetFormatPr defaultColWidth="8.7109375" defaultRowHeight="12.75" x14ac:dyDescent="0.2"/>
  <sheetData>
    <row r="1" spans="1:2" x14ac:dyDescent="0.2">
      <c r="A1" s="1" t="s">
        <v>3031</v>
      </c>
      <c r="B1" s="1" t="s">
        <v>3031</v>
      </c>
    </row>
    <row r="2" spans="1:2" x14ac:dyDescent="0.2">
      <c r="A2" s="1" t="s">
        <v>3031</v>
      </c>
      <c r="B2" s="1" t="s">
        <v>3031</v>
      </c>
    </row>
    <row r="3" spans="1:2" x14ac:dyDescent="0.2">
      <c r="A3" s="1" t="s">
        <v>3031</v>
      </c>
      <c r="B3" s="1" t="s">
        <v>3031</v>
      </c>
    </row>
    <row r="4" spans="1:2" x14ac:dyDescent="0.2">
      <c r="A4" s="1" t="s">
        <v>3031</v>
      </c>
      <c r="B4" s="1" t="s">
        <v>3031</v>
      </c>
    </row>
    <row r="5" spans="1:2" x14ac:dyDescent="0.2">
      <c r="A5" s="1" t="s">
        <v>3031</v>
      </c>
      <c r="B5" s="1" t="s">
        <v>3031</v>
      </c>
    </row>
    <row r="6" spans="1:2" x14ac:dyDescent="0.2">
      <c r="A6" s="1" t="s">
        <v>3031</v>
      </c>
      <c r="B6" s="1" t="s">
        <v>3031</v>
      </c>
    </row>
    <row r="7" spans="1:2" x14ac:dyDescent="0.2">
      <c r="A7" s="1" t="s">
        <v>3031</v>
      </c>
      <c r="B7" s="1" t="s">
        <v>3031</v>
      </c>
    </row>
    <row r="8" spans="1:2" x14ac:dyDescent="0.2">
      <c r="A8" s="1" t="s">
        <v>3031</v>
      </c>
      <c r="B8" s="1" t="s">
        <v>3031</v>
      </c>
    </row>
    <row r="9" spans="1:2" x14ac:dyDescent="0.2">
      <c r="A9" s="1" t="s">
        <v>3031</v>
      </c>
      <c r="B9" s="1" t="s">
        <v>3031</v>
      </c>
    </row>
    <row r="10" spans="1:2" x14ac:dyDescent="0.2">
      <c r="A10" s="1" t="s">
        <v>3031</v>
      </c>
      <c r="B10" s="1" t="s">
        <v>3031</v>
      </c>
    </row>
    <row r="11" spans="1:2" x14ac:dyDescent="0.2">
      <c r="A11" s="1" t="s">
        <v>3031</v>
      </c>
      <c r="B11" s="1" t="s">
        <v>3031</v>
      </c>
    </row>
    <row r="12" spans="1:2" x14ac:dyDescent="0.2">
      <c r="A12" s="1" t="s">
        <v>3031</v>
      </c>
      <c r="B12" s="1" t="s">
        <v>3031</v>
      </c>
    </row>
    <row r="13" spans="1:2" x14ac:dyDescent="0.2">
      <c r="A13" s="1" t="s">
        <v>3031</v>
      </c>
      <c r="B13" s="1" t="s">
        <v>3031</v>
      </c>
    </row>
    <row r="14" spans="1:2" x14ac:dyDescent="0.2">
      <c r="A14" s="1" t="s">
        <v>3031</v>
      </c>
      <c r="B14" s="1" t="s">
        <v>3031</v>
      </c>
    </row>
    <row r="15" spans="1:2" x14ac:dyDescent="0.2">
      <c r="A15" s="1" t="s">
        <v>3031</v>
      </c>
      <c r="B15" s="1" t="s">
        <v>3031</v>
      </c>
    </row>
    <row r="16" spans="1:2" x14ac:dyDescent="0.2">
      <c r="A16" s="1" t="s">
        <v>3031</v>
      </c>
      <c r="B16" s="1" t="s">
        <v>3031</v>
      </c>
    </row>
    <row r="17" spans="1:2" x14ac:dyDescent="0.2">
      <c r="A17" s="1" t="s">
        <v>3031</v>
      </c>
      <c r="B17" s="1" t="s">
        <v>3031</v>
      </c>
    </row>
    <row r="18" spans="1:2" x14ac:dyDescent="0.2">
      <c r="A18" s="1" t="s">
        <v>3031</v>
      </c>
      <c r="B18" s="1" t="s">
        <v>3031</v>
      </c>
    </row>
    <row r="19" spans="1:2" x14ac:dyDescent="0.2">
      <c r="A19" s="1" t="s">
        <v>3031</v>
      </c>
      <c r="B19" s="1" t="s">
        <v>3031</v>
      </c>
    </row>
    <row r="20" spans="1:2" x14ac:dyDescent="0.2">
      <c r="A20" s="1" t="s">
        <v>3031</v>
      </c>
      <c r="B20" s="1" t="s">
        <v>3031</v>
      </c>
    </row>
    <row r="21" spans="1:2" x14ac:dyDescent="0.2">
      <c r="A21" s="1" t="s">
        <v>3031</v>
      </c>
      <c r="B21" s="1" t="s">
        <v>3031</v>
      </c>
    </row>
    <row r="22" spans="1:2" x14ac:dyDescent="0.2">
      <c r="A22" s="1" t="s">
        <v>3031</v>
      </c>
      <c r="B22" s="1" t="s">
        <v>3031</v>
      </c>
    </row>
    <row r="23" spans="1:2" x14ac:dyDescent="0.2">
      <c r="A23" s="1" t="s">
        <v>3031</v>
      </c>
      <c r="B23" s="1" t="s">
        <v>3031</v>
      </c>
    </row>
    <row r="24" spans="1:2" x14ac:dyDescent="0.2">
      <c r="A24" s="1" t="s">
        <v>3031</v>
      </c>
      <c r="B24" s="1" t="s">
        <v>3031</v>
      </c>
    </row>
    <row r="25" spans="1:2" x14ac:dyDescent="0.2">
      <c r="A25" s="1" t="s">
        <v>3031</v>
      </c>
      <c r="B25" s="1" t="s">
        <v>3031</v>
      </c>
    </row>
    <row r="26" spans="1:2" x14ac:dyDescent="0.2">
      <c r="A26" s="1" t="s">
        <v>3031</v>
      </c>
      <c r="B26" s="1" t="s">
        <v>3031</v>
      </c>
    </row>
    <row r="27" spans="1:2" x14ac:dyDescent="0.2">
      <c r="A27" s="1" t="s">
        <v>3031</v>
      </c>
      <c r="B27" s="1" t="s">
        <v>3031</v>
      </c>
    </row>
    <row r="28" spans="1:2" x14ac:dyDescent="0.2">
      <c r="A28" s="1" t="s">
        <v>3031</v>
      </c>
      <c r="B28" s="1" t="s">
        <v>3031</v>
      </c>
    </row>
    <row r="29" spans="1:2" x14ac:dyDescent="0.2">
      <c r="A29" s="1" t="s">
        <v>3031</v>
      </c>
      <c r="B29" s="1" t="s">
        <v>3031</v>
      </c>
    </row>
    <row r="30" spans="1:2" x14ac:dyDescent="0.2">
      <c r="A30" s="1" t="s">
        <v>3031</v>
      </c>
      <c r="B30" s="1" t="s">
        <v>3031</v>
      </c>
    </row>
    <row r="31" spans="1:2" x14ac:dyDescent="0.2">
      <c r="A31" s="1" t="s">
        <v>3031</v>
      </c>
      <c r="B31" s="1" t="s">
        <v>3031</v>
      </c>
    </row>
    <row r="32" spans="1:2" x14ac:dyDescent="0.2">
      <c r="A32" s="1" t="s">
        <v>3031</v>
      </c>
      <c r="B32" s="1" t="s">
        <v>3031</v>
      </c>
    </row>
    <row r="33" spans="1:2" x14ac:dyDescent="0.2">
      <c r="A33" s="1" t="s">
        <v>3031</v>
      </c>
      <c r="B33" s="1" t="s">
        <v>3031</v>
      </c>
    </row>
    <row r="34" spans="1:2" x14ac:dyDescent="0.2">
      <c r="A34" s="1" t="s">
        <v>3031</v>
      </c>
      <c r="B34" s="1" t="s">
        <v>3031</v>
      </c>
    </row>
    <row r="35" spans="1:2" x14ac:dyDescent="0.2">
      <c r="A35" s="1" t="s">
        <v>3031</v>
      </c>
      <c r="B35" s="1" t="s">
        <v>3031</v>
      </c>
    </row>
    <row r="36" spans="1:2" x14ac:dyDescent="0.2">
      <c r="A36" s="1" t="s">
        <v>3031</v>
      </c>
      <c r="B36" s="1" t="s">
        <v>3031</v>
      </c>
    </row>
    <row r="37" spans="1:2" x14ac:dyDescent="0.2">
      <c r="A37" s="1" t="s">
        <v>3031</v>
      </c>
      <c r="B37" s="1" t="s">
        <v>3031</v>
      </c>
    </row>
    <row r="38" spans="1:2" x14ac:dyDescent="0.2">
      <c r="A38" s="1" t="s">
        <v>3031</v>
      </c>
      <c r="B38" s="1" t="s">
        <v>3031</v>
      </c>
    </row>
    <row r="39" spans="1:2" x14ac:dyDescent="0.2">
      <c r="A39" s="1" t="s">
        <v>3031</v>
      </c>
      <c r="B39" s="1" t="s">
        <v>3031</v>
      </c>
    </row>
    <row r="40" spans="1:2" x14ac:dyDescent="0.2">
      <c r="A40" s="1" t="s">
        <v>3031</v>
      </c>
      <c r="B40" s="1" t="s">
        <v>3031</v>
      </c>
    </row>
    <row r="41" spans="1:2" x14ac:dyDescent="0.2">
      <c r="A41" s="1" t="s">
        <v>3031</v>
      </c>
      <c r="B41" s="1" t="s">
        <v>3031</v>
      </c>
    </row>
    <row r="42" spans="1:2" x14ac:dyDescent="0.2">
      <c r="A42" s="1" t="s">
        <v>3031</v>
      </c>
      <c r="B42" s="1" t="s">
        <v>3031</v>
      </c>
    </row>
    <row r="43" spans="1:2" x14ac:dyDescent="0.2">
      <c r="A43" s="1" t="s">
        <v>3031</v>
      </c>
      <c r="B43" s="1" t="s">
        <v>3031</v>
      </c>
    </row>
    <row r="44" spans="1:2" x14ac:dyDescent="0.2">
      <c r="A44" s="1" t="s">
        <v>3031</v>
      </c>
      <c r="B44" s="1" t="s">
        <v>3031</v>
      </c>
    </row>
    <row r="45" spans="1:2" x14ac:dyDescent="0.2">
      <c r="A45" s="1" t="s">
        <v>3031</v>
      </c>
      <c r="B45" s="1" t="s">
        <v>3031</v>
      </c>
    </row>
    <row r="46" spans="1:2" x14ac:dyDescent="0.2">
      <c r="A46" s="1" t="s">
        <v>3031</v>
      </c>
      <c r="B46" s="1" t="s">
        <v>3031</v>
      </c>
    </row>
    <row r="47" spans="1:2" x14ac:dyDescent="0.2">
      <c r="A47" s="1" t="s">
        <v>3031</v>
      </c>
      <c r="B47" s="1" t="s">
        <v>3031</v>
      </c>
    </row>
    <row r="48" spans="1:2" x14ac:dyDescent="0.2">
      <c r="A48" s="1" t="s">
        <v>3031</v>
      </c>
      <c r="B48" s="1" t="s">
        <v>3031</v>
      </c>
    </row>
    <row r="49" spans="1:2" x14ac:dyDescent="0.2">
      <c r="A49" s="1" t="s">
        <v>3031</v>
      </c>
      <c r="B49" s="1" t="s">
        <v>3031</v>
      </c>
    </row>
    <row r="50" spans="1:2" x14ac:dyDescent="0.2">
      <c r="A50" s="1" t="s">
        <v>3031</v>
      </c>
      <c r="B50" s="1" t="s">
        <v>3031</v>
      </c>
    </row>
    <row r="51" spans="1:2" x14ac:dyDescent="0.2">
      <c r="A51" s="1" t="s">
        <v>3031</v>
      </c>
      <c r="B51" s="1" t="s">
        <v>3031</v>
      </c>
    </row>
    <row r="52" spans="1:2" x14ac:dyDescent="0.2">
      <c r="A52" s="1" t="s">
        <v>3031</v>
      </c>
      <c r="B52" s="1" t="s">
        <v>3031</v>
      </c>
    </row>
    <row r="53" spans="1:2" x14ac:dyDescent="0.2">
      <c r="A53" s="1" t="s">
        <v>3031</v>
      </c>
      <c r="B53" s="1" t="s">
        <v>3031</v>
      </c>
    </row>
    <row r="54" spans="1:2" x14ac:dyDescent="0.2">
      <c r="A54" s="1" t="s">
        <v>3031</v>
      </c>
      <c r="B54" s="1" t="s">
        <v>3031</v>
      </c>
    </row>
    <row r="55" spans="1:2" x14ac:dyDescent="0.2">
      <c r="A55" s="1" t="s">
        <v>3031</v>
      </c>
      <c r="B55" s="1" t="s">
        <v>3031</v>
      </c>
    </row>
    <row r="56" spans="1:2" x14ac:dyDescent="0.2">
      <c r="A56" s="1" t="s">
        <v>3031</v>
      </c>
      <c r="B56" s="1" t="s">
        <v>3031</v>
      </c>
    </row>
    <row r="57" spans="1:2" x14ac:dyDescent="0.2">
      <c r="A57" s="1" t="s">
        <v>3031</v>
      </c>
      <c r="B57" s="1" t="s">
        <v>3031</v>
      </c>
    </row>
    <row r="58" spans="1:2" x14ac:dyDescent="0.2">
      <c r="A58" s="1" t="s">
        <v>3031</v>
      </c>
      <c r="B58" s="1" t="s">
        <v>3031</v>
      </c>
    </row>
    <row r="59" spans="1:2" x14ac:dyDescent="0.2">
      <c r="A59" s="1" t="s">
        <v>3031</v>
      </c>
      <c r="B59" s="1" t="s">
        <v>3031</v>
      </c>
    </row>
    <row r="60" spans="1:2" x14ac:dyDescent="0.2">
      <c r="A60" s="1" t="s">
        <v>3031</v>
      </c>
      <c r="B60" s="1" t="s">
        <v>3031</v>
      </c>
    </row>
    <row r="61" spans="1:2" x14ac:dyDescent="0.2">
      <c r="A61" s="1" t="s">
        <v>3031</v>
      </c>
      <c r="B61" s="1" t="s">
        <v>3031</v>
      </c>
    </row>
    <row r="62" spans="1:2" x14ac:dyDescent="0.2">
      <c r="A62" s="1" t="s">
        <v>3031</v>
      </c>
      <c r="B62" s="1" t="s">
        <v>3031</v>
      </c>
    </row>
    <row r="63" spans="1:2" x14ac:dyDescent="0.2">
      <c r="A63" s="1" t="s">
        <v>3031</v>
      </c>
      <c r="B63" s="1" t="s">
        <v>3031</v>
      </c>
    </row>
    <row r="64" spans="1:2" x14ac:dyDescent="0.2">
      <c r="A64" s="1" t="s">
        <v>3031</v>
      </c>
      <c r="B64" s="1" t="s">
        <v>3031</v>
      </c>
    </row>
    <row r="65" spans="1:2" x14ac:dyDescent="0.2">
      <c r="A65" s="1" t="s">
        <v>3031</v>
      </c>
      <c r="B65" s="1" t="s">
        <v>3031</v>
      </c>
    </row>
    <row r="66" spans="1:2" x14ac:dyDescent="0.2">
      <c r="A66" s="1" t="s">
        <v>3031</v>
      </c>
      <c r="B66" s="1" t="s">
        <v>3031</v>
      </c>
    </row>
    <row r="67" spans="1:2" x14ac:dyDescent="0.2">
      <c r="A67" s="1" t="s">
        <v>3031</v>
      </c>
      <c r="B67" s="1" t="s">
        <v>3031</v>
      </c>
    </row>
    <row r="68" spans="1:2" x14ac:dyDescent="0.2">
      <c r="A68" s="1" t="s">
        <v>3031</v>
      </c>
      <c r="B68" s="1" t="s">
        <v>3031</v>
      </c>
    </row>
    <row r="69" spans="1:2" x14ac:dyDescent="0.2">
      <c r="A69" s="1" t="s">
        <v>3031</v>
      </c>
      <c r="B69" s="1" t="s">
        <v>3031</v>
      </c>
    </row>
    <row r="70" spans="1:2" x14ac:dyDescent="0.2">
      <c r="A70" s="1" t="s">
        <v>3031</v>
      </c>
      <c r="B70" s="1" t="s">
        <v>3031</v>
      </c>
    </row>
    <row r="71" spans="1:2" x14ac:dyDescent="0.2">
      <c r="A71" s="1" t="s">
        <v>3031</v>
      </c>
      <c r="B71" s="1" t="s">
        <v>3031</v>
      </c>
    </row>
    <row r="72" spans="1:2" x14ac:dyDescent="0.2">
      <c r="A72" s="1" t="s">
        <v>3031</v>
      </c>
      <c r="B72" s="1" t="s">
        <v>3031</v>
      </c>
    </row>
    <row r="73" spans="1:2" x14ac:dyDescent="0.2">
      <c r="A73" s="1" t="s">
        <v>3031</v>
      </c>
      <c r="B73" s="1" t="s">
        <v>3031</v>
      </c>
    </row>
    <row r="74" spans="1:2" x14ac:dyDescent="0.2">
      <c r="A74" s="1" t="s">
        <v>3031</v>
      </c>
      <c r="B74" s="1" t="s">
        <v>3031</v>
      </c>
    </row>
    <row r="75" spans="1:2" x14ac:dyDescent="0.2">
      <c r="A75" s="1" t="s">
        <v>3031</v>
      </c>
      <c r="B75" s="1" t="s">
        <v>3031</v>
      </c>
    </row>
    <row r="76" spans="1:2" x14ac:dyDescent="0.2">
      <c r="A76" s="1" t="s">
        <v>3031</v>
      </c>
      <c r="B76" s="1" t="s">
        <v>3031</v>
      </c>
    </row>
    <row r="77" spans="1:2" x14ac:dyDescent="0.2">
      <c r="A77" s="1" t="s">
        <v>3031</v>
      </c>
      <c r="B77" s="1" t="s">
        <v>3031</v>
      </c>
    </row>
    <row r="78" spans="1:2" x14ac:dyDescent="0.2">
      <c r="A78" s="1" t="s">
        <v>3031</v>
      </c>
      <c r="B78" s="1" t="s">
        <v>3031</v>
      </c>
    </row>
    <row r="79" spans="1:2" x14ac:dyDescent="0.2">
      <c r="A79" s="1" t="s">
        <v>3031</v>
      </c>
      <c r="B79" s="1" t="s">
        <v>3031</v>
      </c>
    </row>
    <row r="80" spans="1:2" x14ac:dyDescent="0.2">
      <c r="A80" s="1" t="s">
        <v>3031</v>
      </c>
      <c r="B80" s="1" t="s">
        <v>3031</v>
      </c>
    </row>
    <row r="81" spans="1:2" x14ac:dyDescent="0.2">
      <c r="A81" s="1" t="s">
        <v>3031</v>
      </c>
      <c r="B81" s="1" t="s">
        <v>3031</v>
      </c>
    </row>
    <row r="82" spans="1:2" x14ac:dyDescent="0.2">
      <c r="A82" s="1" t="s">
        <v>3031</v>
      </c>
      <c r="B82" s="1" t="s">
        <v>3031</v>
      </c>
    </row>
    <row r="83" spans="1:2" x14ac:dyDescent="0.2">
      <c r="A83" s="1" t="s">
        <v>3031</v>
      </c>
      <c r="B83" s="1" t="s">
        <v>3031</v>
      </c>
    </row>
    <row r="84" spans="1:2" x14ac:dyDescent="0.2">
      <c r="A84" s="1" t="s">
        <v>3031</v>
      </c>
      <c r="B84" s="1" t="s">
        <v>3031</v>
      </c>
    </row>
    <row r="85" spans="1:2" x14ac:dyDescent="0.2">
      <c r="A85" s="1" t="s">
        <v>3031</v>
      </c>
      <c r="B85" s="1" t="s">
        <v>3031</v>
      </c>
    </row>
    <row r="86" spans="1:2" x14ac:dyDescent="0.2">
      <c r="A86" s="1" t="s">
        <v>3031</v>
      </c>
      <c r="B86" s="1" t="s">
        <v>3031</v>
      </c>
    </row>
    <row r="87" spans="1:2" x14ac:dyDescent="0.2">
      <c r="A87" s="1" t="s">
        <v>3031</v>
      </c>
      <c r="B87" s="1" t="s">
        <v>3031</v>
      </c>
    </row>
    <row r="88" spans="1:2" x14ac:dyDescent="0.2">
      <c r="A88" s="1" t="s">
        <v>3031</v>
      </c>
      <c r="B88" s="1" t="s">
        <v>3031</v>
      </c>
    </row>
    <row r="89" spans="1:2" x14ac:dyDescent="0.2">
      <c r="A89" s="1" t="s">
        <v>3031</v>
      </c>
      <c r="B89" s="1" t="s">
        <v>3031</v>
      </c>
    </row>
    <row r="90" spans="1:2" x14ac:dyDescent="0.2">
      <c r="A90" s="1" t="s">
        <v>3031</v>
      </c>
      <c r="B90" s="1" t="s">
        <v>3031</v>
      </c>
    </row>
    <row r="91" spans="1:2" x14ac:dyDescent="0.2">
      <c r="A91" s="1" t="s">
        <v>3031</v>
      </c>
      <c r="B91" s="1" t="s">
        <v>3031</v>
      </c>
    </row>
    <row r="92" spans="1:2" x14ac:dyDescent="0.2">
      <c r="A92" s="1" t="s">
        <v>3031</v>
      </c>
      <c r="B92" s="1" t="s">
        <v>3031</v>
      </c>
    </row>
    <row r="93" spans="1:2" x14ac:dyDescent="0.2">
      <c r="A93" s="1" t="s">
        <v>3031</v>
      </c>
      <c r="B93" s="1" t="s">
        <v>3031</v>
      </c>
    </row>
    <row r="94" spans="1:2" x14ac:dyDescent="0.2">
      <c r="A94" s="1" t="s">
        <v>3031</v>
      </c>
      <c r="B94" s="1" t="s">
        <v>3031</v>
      </c>
    </row>
    <row r="95" spans="1:2" x14ac:dyDescent="0.2">
      <c r="A95" s="1" t="s">
        <v>3031</v>
      </c>
      <c r="B95" s="1" t="s">
        <v>3031</v>
      </c>
    </row>
    <row r="96" spans="1:2" x14ac:dyDescent="0.2">
      <c r="A96" s="1" t="s">
        <v>3031</v>
      </c>
      <c r="B96" s="1" t="s">
        <v>3031</v>
      </c>
    </row>
    <row r="97" spans="1:2" x14ac:dyDescent="0.2">
      <c r="A97" s="1" t="s">
        <v>3031</v>
      </c>
      <c r="B97" s="1" t="s">
        <v>3031</v>
      </c>
    </row>
    <row r="98" spans="1:2" x14ac:dyDescent="0.2">
      <c r="A98" s="1" t="s">
        <v>3031</v>
      </c>
      <c r="B98" s="1" t="s">
        <v>3031</v>
      </c>
    </row>
    <row r="99" spans="1:2" x14ac:dyDescent="0.2">
      <c r="A99" s="1" t="s">
        <v>3031</v>
      </c>
      <c r="B99" s="1" t="s">
        <v>3031</v>
      </c>
    </row>
    <row r="100" spans="1:2" x14ac:dyDescent="0.2">
      <c r="A100" s="1" t="s">
        <v>3031</v>
      </c>
      <c r="B100" s="1" t="s">
        <v>3031</v>
      </c>
    </row>
    <row r="101" spans="1:2" x14ac:dyDescent="0.2">
      <c r="A101" s="1" t="s">
        <v>3031</v>
      </c>
      <c r="B101" s="1" t="s">
        <v>3031</v>
      </c>
    </row>
    <row r="102" spans="1:2" x14ac:dyDescent="0.2">
      <c r="A102" s="1" t="s">
        <v>3031</v>
      </c>
      <c r="B102" s="1" t="s">
        <v>3031</v>
      </c>
    </row>
    <row r="103" spans="1:2" x14ac:dyDescent="0.2">
      <c r="A103" s="1" t="s">
        <v>3031</v>
      </c>
      <c r="B103" s="1" t="s">
        <v>3031</v>
      </c>
    </row>
    <row r="104" spans="1:2" x14ac:dyDescent="0.2">
      <c r="A104" s="1" t="s">
        <v>3031</v>
      </c>
      <c r="B104" s="1" t="s">
        <v>3031</v>
      </c>
    </row>
    <row r="105" spans="1:2" x14ac:dyDescent="0.2">
      <c r="A105" s="1" t="s">
        <v>3031</v>
      </c>
      <c r="B105" s="1" t="s">
        <v>3031</v>
      </c>
    </row>
    <row r="106" spans="1:2" x14ac:dyDescent="0.2">
      <c r="A106" s="1" t="s">
        <v>3031</v>
      </c>
      <c r="B106" s="1" t="s">
        <v>3031</v>
      </c>
    </row>
    <row r="107" spans="1:2" x14ac:dyDescent="0.2">
      <c r="A107" s="1" t="s">
        <v>3031</v>
      </c>
      <c r="B107" s="1" t="s">
        <v>3031</v>
      </c>
    </row>
    <row r="108" spans="1:2" x14ac:dyDescent="0.2">
      <c r="A108" s="1" t="s">
        <v>3031</v>
      </c>
      <c r="B108" s="1" t="s">
        <v>3031</v>
      </c>
    </row>
    <row r="109" spans="1:2" x14ac:dyDescent="0.2">
      <c r="A109" s="1" t="s">
        <v>3031</v>
      </c>
      <c r="B109" s="1" t="s">
        <v>3031</v>
      </c>
    </row>
    <row r="110" spans="1:2" x14ac:dyDescent="0.2">
      <c r="A110" s="1" t="s">
        <v>3031</v>
      </c>
      <c r="B110" s="1" t="s">
        <v>3031</v>
      </c>
    </row>
    <row r="111" spans="1:2" x14ac:dyDescent="0.2">
      <c r="A111" s="1" t="s">
        <v>3031</v>
      </c>
      <c r="B111" s="1" t="s">
        <v>3031</v>
      </c>
    </row>
    <row r="112" spans="1:2" x14ac:dyDescent="0.2">
      <c r="A112" s="1" t="s">
        <v>3031</v>
      </c>
      <c r="B112" s="1" t="s">
        <v>3031</v>
      </c>
    </row>
    <row r="113" spans="1:2" x14ac:dyDescent="0.2">
      <c r="A113" s="1" t="s">
        <v>3031</v>
      </c>
      <c r="B113" s="1" t="s">
        <v>3031</v>
      </c>
    </row>
    <row r="114" spans="1:2" x14ac:dyDescent="0.2">
      <c r="A114" s="1" t="s">
        <v>3031</v>
      </c>
      <c r="B114" s="1" t="s">
        <v>3031</v>
      </c>
    </row>
    <row r="115" spans="1:2" x14ac:dyDescent="0.2">
      <c r="A115" s="1" t="s">
        <v>3031</v>
      </c>
      <c r="B115" s="1" t="s">
        <v>3031</v>
      </c>
    </row>
    <row r="116" spans="1:2" x14ac:dyDescent="0.2">
      <c r="A116" s="1" t="s">
        <v>3031</v>
      </c>
      <c r="B116" s="1" t="s">
        <v>3031</v>
      </c>
    </row>
    <row r="117" spans="1:2" x14ac:dyDescent="0.2">
      <c r="A117" s="1" t="s">
        <v>3031</v>
      </c>
      <c r="B117" s="1" t="s">
        <v>3031</v>
      </c>
    </row>
    <row r="118" spans="1:2" x14ac:dyDescent="0.2">
      <c r="A118" s="1" t="s">
        <v>3031</v>
      </c>
      <c r="B118" s="1" t="s">
        <v>3031</v>
      </c>
    </row>
    <row r="119" spans="1:2" x14ac:dyDescent="0.2">
      <c r="A119" s="1" t="s">
        <v>3031</v>
      </c>
      <c r="B119" s="1" t="s">
        <v>3031</v>
      </c>
    </row>
    <row r="120" spans="1:2" x14ac:dyDescent="0.2">
      <c r="A120" s="1" t="s">
        <v>3031</v>
      </c>
      <c r="B120" s="1" t="s">
        <v>3031</v>
      </c>
    </row>
    <row r="121" spans="1:2" x14ac:dyDescent="0.2">
      <c r="A121" s="1" t="s">
        <v>3031</v>
      </c>
      <c r="B121" s="1" t="s">
        <v>3031</v>
      </c>
    </row>
    <row r="122" spans="1:2" x14ac:dyDescent="0.2">
      <c r="A122" s="1" t="s">
        <v>3031</v>
      </c>
      <c r="B122" s="1" t="s">
        <v>3031</v>
      </c>
    </row>
    <row r="123" spans="1:2" x14ac:dyDescent="0.2">
      <c r="A123" s="1" t="s">
        <v>3031</v>
      </c>
      <c r="B123" s="1" t="s">
        <v>3031</v>
      </c>
    </row>
    <row r="124" spans="1:2" x14ac:dyDescent="0.2">
      <c r="A124" s="1" t="s">
        <v>3031</v>
      </c>
      <c r="B124" s="1" t="s">
        <v>3031</v>
      </c>
    </row>
    <row r="125" spans="1:2" x14ac:dyDescent="0.2">
      <c r="A125" s="1" t="s">
        <v>3031</v>
      </c>
      <c r="B125" s="1" t="s">
        <v>3031</v>
      </c>
    </row>
    <row r="126" spans="1:2" x14ac:dyDescent="0.2">
      <c r="A126" s="1" t="s">
        <v>3031</v>
      </c>
      <c r="B126" s="1" t="s">
        <v>3031</v>
      </c>
    </row>
    <row r="127" spans="1:2" x14ac:dyDescent="0.2">
      <c r="A127" s="1" t="s">
        <v>3031</v>
      </c>
      <c r="B127" s="1" t="s">
        <v>3031</v>
      </c>
    </row>
    <row r="128" spans="1:2" x14ac:dyDescent="0.2">
      <c r="A128" s="1" t="s">
        <v>3031</v>
      </c>
      <c r="B128" s="1" t="s">
        <v>3031</v>
      </c>
    </row>
    <row r="129" spans="1:2" x14ac:dyDescent="0.2">
      <c r="A129" s="1" t="s">
        <v>3031</v>
      </c>
      <c r="B129" s="1" t="s">
        <v>3031</v>
      </c>
    </row>
    <row r="130" spans="1:2" x14ac:dyDescent="0.2">
      <c r="A130" s="1" t="s">
        <v>3031</v>
      </c>
      <c r="B130" s="1" t="s">
        <v>3031</v>
      </c>
    </row>
    <row r="131" spans="1:2" x14ac:dyDescent="0.2">
      <c r="A131" s="1" t="s">
        <v>3031</v>
      </c>
      <c r="B131" s="1" t="s">
        <v>3031</v>
      </c>
    </row>
    <row r="132" spans="1:2" x14ac:dyDescent="0.2">
      <c r="A132" s="1" t="s">
        <v>3031</v>
      </c>
      <c r="B132" s="1" t="s">
        <v>3031</v>
      </c>
    </row>
    <row r="133" spans="1:2" x14ac:dyDescent="0.2">
      <c r="A133" s="1" t="s">
        <v>3031</v>
      </c>
      <c r="B133" s="1" t="s">
        <v>3031</v>
      </c>
    </row>
    <row r="134" spans="1:2" x14ac:dyDescent="0.2">
      <c r="A134" s="1" t="s">
        <v>3031</v>
      </c>
      <c r="B134" s="1" t="s">
        <v>3031</v>
      </c>
    </row>
    <row r="135" spans="1:2" x14ac:dyDescent="0.2">
      <c r="A135" s="1" t="s">
        <v>3031</v>
      </c>
      <c r="B135" s="1" t="s">
        <v>3031</v>
      </c>
    </row>
    <row r="136" spans="1:2" x14ac:dyDescent="0.2">
      <c r="A136" s="1" t="s">
        <v>3031</v>
      </c>
      <c r="B136" s="1" t="s">
        <v>3031</v>
      </c>
    </row>
    <row r="137" spans="1:2" x14ac:dyDescent="0.2">
      <c r="A137" s="1" t="s">
        <v>3031</v>
      </c>
      <c r="B137" s="1" t="s">
        <v>3031</v>
      </c>
    </row>
    <row r="138" spans="1:2" x14ac:dyDescent="0.2">
      <c r="A138" s="1" t="s">
        <v>3031</v>
      </c>
      <c r="B138" s="1" t="s">
        <v>3031</v>
      </c>
    </row>
    <row r="139" spans="1:2" x14ac:dyDescent="0.2">
      <c r="A139" s="1" t="s">
        <v>3031</v>
      </c>
      <c r="B139" s="1" t="s">
        <v>3031</v>
      </c>
    </row>
    <row r="140" spans="1:2" x14ac:dyDescent="0.2">
      <c r="A140" s="1" t="s">
        <v>3031</v>
      </c>
      <c r="B140" s="1" t="s">
        <v>3031</v>
      </c>
    </row>
    <row r="141" spans="1:2" x14ac:dyDescent="0.2">
      <c r="A141" s="1" t="s">
        <v>3031</v>
      </c>
      <c r="B141" s="1" t="s">
        <v>3031</v>
      </c>
    </row>
    <row r="142" spans="1:2" x14ac:dyDescent="0.2">
      <c r="A142" s="1" t="s">
        <v>3031</v>
      </c>
      <c r="B142" s="1" t="s">
        <v>3031</v>
      </c>
    </row>
    <row r="143" spans="1:2" x14ac:dyDescent="0.2">
      <c r="A143" s="1" t="s">
        <v>3031</v>
      </c>
      <c r="B143" s="1" t="s">
        <v>3031</v>
      </c>
    </row>
    <row r="144" spans="1:2" x14ac:dyDescent="0.2">
      <c r="A144" s="1" t="s">
        <v>3031</v>
      </c>
      <c r="B144" s="1" t="s">
        <v>3031</v>
      </c>
    </row>
    <row r="145" spans="1:2" x14ac:dyDescent="0.2">
      <c r="A145" s="1" t="s">
        <v>3031</v>
      </c>
      <c r="B145" s="1" t="s">
        <v>3031</v>
      </c>
    </row>
    <row r="146" spans="1:2" x14ac:dyDescent="0.2">
      <c r="A146" s="1" t="s">
        <v>3031</v>
      </c>
      <c r="B146" s="1" t="s">
        <v>3031</v>
      </c>
    </row>
    <row r="147" spans="1:2" x14ac:dyDescent="0.2">
      <c r="A147" s="1" t="s">
        <v>3031</v>
      </c>
      <c r="B147" s="1" t="s">
        <v>3031</v>
      </c>
    </row>
    <row r="148" spans="1:2" x14ac:dyDescent="0.2">
      <c r="A148" s="1" t="s">
        <v>3031</v>
      </c>
      <c r="B148" s="1" t="s">
        <v>3031</v>
      </c>
    </row>
    <row r="149" spans="1:2" x14ac:dyDescent="0.2">
      <c r="A149" s="1" t="s">
        <v>3031</v>
      </c>
      <c r="B149" s="1" t="s">
        <v>3031</v>
      </c>
    </row>
    <row r="150" spans="1:2" x14ac:dyDescent="0.2">
      <c r="A150" s="1" t="s">
        <v>3031</v>
      </c>
      <c r="B150" s="1" t="s">
        <v>3031</v>
      </c>
    </row>
    <row r="151" spans="1:2" x14ac:dyDescent="0.2">
      <c r="A151" s="1" t="s">
        <v>3031</v>
      </c>
      <c r="B151" s="1" t="s">
        <v>3031</v>
      </c>
    </row>
    <row r="152" spans="1:2" x14ac:dyDescent="0.2">
      <c r="A152" s="1" t="s">
        <v>3031</v>
      </c>
      <c r="B152" s="1" t="s">
        <v>3031</v>
      </c>
    </row>
    <row r="153" spans="1:2" x14ac:dyDescent="0.2">
      <c r="A153" s="1" t="s">
        <v>3031</v>
      </c>
      <c r="B153" s="1" t="s">
        <v>3031</v>
      </c>
    </row>
    <row r="154" spans="1:2" x14ac:dyDescent="0.2">
      <c r="A154" s="1" t="s">
        <v>3031</v>
      </c>
      <c r="B154" s="1" t="s">
        <v>3031</v>
      </c>
    </row>
    <row r="155" spans="1:2" x14ac:dyDescent="0.2">
      <c r="A155" s="1" t="s">
        <v>3031</v>
      </c>
      <c r="B155" s="1" t="s">
        <v>3031</v>
      </c>
    </row>
    <row r="156" spans="1:2" x14ac:dyDescent="0.2">
      <c r="A156" s="1" t="s">
        <v>3031</v>
      </c>
      <c r="B156" s="1" t="s">
        <v>3031</v>
      </c>
    </row>
    <row r="157" spans="1:2" x14ac:dyDescent="0.2">
      <c r="A157" s="1" t="s">
        <v>3031</v>
      </c>
      <c r="B157" s="1" t="s">
        <v>3031</v>
      </c>
    </row>
    <row r="158" spans="1:2" x14ac:dyDescent="0.2">
      <c r="A158" s="1" t="s">
        <v>3031</v>
      </c>
      <c r="B158" s="1" t="s">
        <v>3031</v>
      </c>
    </row>
    <row r="159" spans="1:2" x14ac:dyDescent="0.2">
      <c r="A159" s="1" t="s">
        <v>3031</v>
      </c>
      <c r="B159" s="1" t="s">
        <v>3031</v>
      </c>
    </row>
    <row r="160" spans="1:2" x14ac:dyDescent="0.2">
      <c r="A160" s="1" t="s">
        <v>3031</v>
      </c>
      <c r="B160" s="1" t="s">
        <v>3031</v>
      </c>
    </row>
    <row r="161" spans="1:2" x14ac:dyDescent="0.2">
      <c r="A161" s="1" t="s">
        <v>3031</v>
      </c>
      <c r="B161" s="1" t="s">
        <v>3031</v>
      </c>
    </row>
    <row r="162" spans="1:2" x14ac:dyDescent="0.2">
      <c r="A162" s="1" t="s">
        <v>3031</v>
      </c>
      <c r="B162" s="1" t="s">
        <v>3031</v>
      </c>
    </row>
    <row r="163" spans="1:2" x14ac:dyDescent="0.2">
      <c r="A163" s="1" t="s">
        <v>3031</v>
      </c>
      <c r="B163" s="1" t="s">
        <v>3031</v>
      </c>
    </row>
    <row r="164" spans="1:2" x14ac:dyDescent="0.2">
      <c r="A164" s="1" t="s">
        <v>3031</v>
      </c>
      <c r="B164" s="1" t="s">
        <v>3031</v>
      </c>
    </row>
    <row r="165" spans="1:2" x14ac:dyDescent="0.2">
      <c r="A165" s="1" t="s">
        <v>3031</v>
      </c>
      <c r="B165" s="1" t="s">
        <v>3031</v>
      </c>
    </row>
    <row r="166" spans="1:2" x14ac:dyDescent="0.2">
      <c r="A166" s="1" t="s">
        <v>3031</v>
      </c>
      <c r="B166" s="1" t="s">
        <v>3031</v>
      </c>
    </row>
    <row r="167" spans="1:2" x14ac:dyDescent="0.2">
      <c r="A167" s="1" t="s">
        <v>3031</v>
      </c>
      <c r="B167" s="1" t="s">
        <v>3031</v>
      </c>
    </row>
    <row r="168" spans="1:2" x14ac:dyDescent="0.2">
      <c r="A168" s="1" t="s">
        <v>3031</v>
      </c>
      <c r="B168" s="1" t="s">
        <v>3031</v>
      </c>
    </row>
    <row r="169" spans="1:2" x14ac:dyDescent="0.2">
      <c r="A169" s="1" t="s">
        <v>3031</v>
      </c>
      <c r="B169" s="1" t="s">
        <v>3031</v>
      </c>
    </row>
    <row r="170" spans="1:2" x14ac:dyDescent="0.2">
      <c r="A170" s="1" t="s">
        <v>3031</v>
      </c>
      <c r="B170" s="1" t="s">
        <v>3031</v>
      </c>
    </row>
    <row r="171" spans="1:2" x14ac:dyDescent="0.2">
      <c r="A171" s="1" t="s">
        <v>3031</v>
      </c>
      <c r="B171" s="1" t="s">
        <v>3031</v>
      </c>
    </row>
    <row r="172" spans="1:2" x14ac:dyDescent="0.2">
      <c r="A172" s="1" t="s">
        <v>3031</v>
      </c>
      <c r="B172" s="1" t="s">
        <v>3031</v>
      </c>
    </row>
    <row r="173" spans="1:2" x14ac:dyDescent="0.2">
      <c r="A173" s="1" t="s">
        <v>3031</v>
      </c>
      <c r="B173" s="1" t="s">
        <v>3031</v>
      </c>
    </row>
    <row r="174" spans="1:2" x14ac:dyDescent="0.2">
      <c r="A174" s="1" t="s">
        <v>3031</v>
      </c>
      <c r="B174" s="1" t="s">
        <v>3031</v>
      </c>
    </row>
    <row r="175" spans="1:2" x14ac:dyDescent="0.2">
      <c r="A175" s="1" t="s">
        <v>3031</v>
      </c>
      <c r="B175" s="1" t="s">
        <v>3031</v>
      </c>
    </row>
    <row r="176" spans="1:2" x14ac:dyDescent="0.2">
      <c r="A176" s="1" t="s">
        <v>3031</v>
      </c>
      <c r="B176" s="1" t="s">
        <v>3031</v>
      </c>
    </row>
    <row r="177" spans="1:2" x14ac:dyDescent="0.2">
      <c r="A177" s="1" t="s">
        <v>3031</v>
      </c>
      <c r="B177" s="1" t="s">
        <v>3031</v>
      </c>
    </row>
    <row r="178" spans="1:2" x14ac:dyDescent="0.2">
      <c r="A178" s="1" t="s">
        <v>3031</v>
      </c>
      <c r="B178" s="1" t="s">
        <v>3031</v>
      </c>
    </row>
    <row r="179" spans="1:2" x14ac:dyDescent="0.2">
      <c r="A179" s="1" t="s">
        <v>3031</v>
      </c>
      <c r="B179" s="1" t="s">
        <v>3031</v>
      </c>
    </row>
    <row r="180" spans="1:2" x14ac:dyDescent="0.2">
      <c r="A180" s="1" t="s">
        <v>3031</v>
      </c>
      <c r="B180" s="1" t="s">
        <v>3031</v>
      </c>
    </row>
    <row r="181" spans="1:2" x14ac:dyDescent="0.2">
      <c r="A181" s="1" t="s">
        <v>3031</v>
      </c>
      <c r="B181" s="1" t="s">
        <v>3031</v>
      </c>
    </row>
    <row r="182" spans="1:2" x14ac:dyDescent="0.2">
      <c r="A182" s="1" t="s">
        <v>3031</v>
      </c>
      <c r="B182" s="1" t="s">
        <v>3031</v>
      </c>
    </row>
    <row r="183" spans="1:2" x14ac:dyDescent="0.2">
      <c r="A183" s="1" t="s">
        <v>3031</v>
      </c>
      <c r="B183" s="1" t="s">
        <v>3031</v>
      </c>
    </row>
    <row r="184" spans="1:2" x14ac:dyDescent="0.2">
      <c r="A184" s="1" t="s">
        <v>3031</v>
      </c>
      <c r="B184" s="1" t="s">
        <v>3031</v>
      </c>
    </row>
    <row r="185" spans="1:2" x14ac:dyDescent="0.2">
      <c r="A185" s="1" t="s">
        <v>3031</v>
      </c>
      <c r="B185" s="1" t="s">
        <v>3031</v>
      </c>
    </row>
    <row r="186" spans="1:2" x14ac:dyDescent="0.2">
      <c r="A186" s="1" t="s">
        <v>3031</v>
      </c>
      <c r="B186" s="1" t="s">
        <v>3031</v>
      </c>
    </row>
    <row r="187" spans="1:2" x14ac:dyDescent="0.2">
      <c r="A187" s="1" t="s">
        <v>3031</v>
      </c>
      <c r="B187" s="1" t="s">
        <v>3031</v>
      </c>
    </row>
    <row r="188" spans="1:2" x14ac:dyDescent="0.2">
      <c r="A188" s="1" t="s">
        <v>3031</v>
      </c>
      <c r="B188" s="1" t="s">
        <v>3031</v>
      </c>
    </row>
    <row r="189" spans="1:2" x14ac:dyDescent="0.2">
      <c r="A189" s="1" t="s">
        <v>3031</v>
      </c>
      <c r="B189" s="1" t="s">
        <v>3031</v>
      </c>
    </row>
    <row r="190" spans="1:2" x14ac:dyDescent="0.2">
      <c r="A190" s="1" t="s">
        <v>3031</v>
      </c>
      <c r="B190" s="1" t="s">
        <v>3031</v>
      </c>
    </row>
    <row r="191" spans="1:2" x14ac:dyDescent="0.2">
      <c r="A191" s="1" t="s">
        <v>3031</v>
      </c>
      <c r="B191" s="1" t="s">
        <v>3031</v>
      </c>
    </row>
    <row r="192" spans="1:2" x14ac:dyDescent="0.2">
      <c r="A192" s="1" t="s">
        <v>3031</v>
      </c>
      <c r="B192" s="1" t="s">
        <v>3031</v>
      </c>
    </row>
    <row r="193" spans="1:2" x14ac:dyDescent="0.2">
      <c r="A193" s="1" t="s">
        <v>3031</v>
      </c>
      <c r="B193" s="1" t="s">
        <v>3031</v>
      </c>
    </row>
    <row r="194" spans="1:2" x14ac:dyDescent="0.2">
      <c r="A194" s="1" t="s">
        <v>3031</v>
      </c>
      <c r="B194" s="1" t="s">
        <v>3031</v>
      </c>
    </row>
    <row r="195" spans="1:2" x14ac:dyDescent="0.2">
      <c r="A195" s="1" t="s">
        <v>3031</v>
      </c>
      <c r="B195" s="1" t="s">
        <v>3031</v>
      </c>
    </row>
    <row r="196" spans="1:2" x14ac:dyDescent="0.2">
      <c r="A196" s="1" t="s">
        <v>3031</v>
      </c>
      <c r="B196" s="1" t="s">
        <v>3031</v>
      </c>
    </row>
    <row r="197" spans="1:2" x14ac:dyDescent="0.2">
      <c r="A197" s="1" t="s">
        <v>3031</v>
      </c>
      <c r="B197" s="1" t="s">
        <v>3031</v>
      </c>
    </row>
    <row r="198" spans="1:2" x14ac:dyDescent="0.2">
      <c r="A198" s="1" t="s">
        <v>3031</v>
      </c>
      <c r="B198" s="1" t="s">
        <v>3031</v>
      </c>
    </row>
    <row r="199" spans="1:2" x14ac:dyDescent="0.2">
      <c r="A199" s="1" t="s">
        <v>3031</v>
      </c>
      <c r="B199" s="1" t="s">
        <v>3031</v>
      </c>
    </row>
    <row r="200" spans="1:2" x14ac:dyDescent="0.2">
      <c r="A200" s="1" t="s">
        <v>3031</v>
      </c>
      <c r="B200" s="1" t="s">
        <v>3031</v>
      </c>
    </row>
    <row r="201" spans="1:2" x14ac:dyDescent="0.2">
      <c r="A201" s="1" t="s">
        <v>3031</v>
      </c>
      <c r="B201" s="1" t="s">
        <v>3031</v>
      </c>
    </row>
    <row r="202" spans="1:2" x14ac:dyDescent="0.2">
      <c r="A202" s="1" t="s">
        <v>3031</v>
      </c>
      <c r="B202" s="1" t="s">
        <v>3031</v>
      </c>
    </row>
    <row r="203" spans="1:2" x14ac:dyDescent="0.2">
      <c r="A203" s="1" t="s">
        <v>3031</v>
      </c>
      <c r="B203" s="1" t="s">
        <v>3031</v>
      </c>
    </row>
    <row r="204" spans="1:2" x14ac:dyDescent="0.2">
      <c r="A204" s="1" t="s">
        <v>3031</v>
      </c>
      <c r="B204" s="1" t="s">
        <v>3031</v>
      </c>
    </row>
    <row r="205" spans="1:2" x14ac:dyDescent="0.2">
      <c r="A205" s="1" t="s">
        <v>3031</v>
      </c>
      <c r="B205" s="1" t="s">
        <v>3031</v>
      </c>
    </row>
    <row r="206" spans="1:2" x14ac:dyDescent="0.2">
      <c r="A206" s="1" t="s">
        <v>3031</v>
      </c>
      <c r="B206" s="1" t="s">
        <v>3031</v>
      </c>
    </row>
    <row r="207" spans="1:2" x14ac:dyDescent="0.2">
      <c r="A207" s="1" t="s">
        <v>3031</v>
      </c>
      <c r="B207" s="1" t="s">
        <v>3031</v>
      </c>
    </row>
    <row r="208" spans="1:2" x14ac:dyDescent="0.2">
      <c r="A208" s="1" t="s">
        <v>3031</v>
      </c>
      <c r="B208" s="1" t="s">
        <v>3031</v>
      </c>
    </row>
    <row r="209" spans="1:2" x14ac:dyDescent="0.2">
      <c r="A209" s="1" t="s">
        <v>3031</v>
      </c>
      <c r="B209" s="1" t="s">
        <v>3031</v>
      </c>
    </row>
    <row r="210" spans="1:2" x14ac:dyDescent="0.2">
      <c r="A210" s="1" t="s">
        <v>3031</v>
      </c>
      <c r="B210" s="1" t="s">
        <v>3031</v>
      </c>
    </row>
    <row r="211" spans="1:2" x14ac:dyDescent="0.2">
      <c r="A211" s="1" t="s">
        <v>3031</v>
      </c>
      <c r="B211" s="1" t="s">
        <v>3031</v>
      </c>
    </row>
    <row r="212" spans="1:2" x14ac:dyDescent="0.2">
      <c r="A212" s="1" t="s">
        <v>3031</v>
      </c>
      <c r="B212" s="1" t="s">
        <v>3031</v>
      </c>
    </row>
    <row r="213" spans="1:2" x14ac:dyDescent="0.2">
      <c r="A213" s="1" t="s">
        <v>3031</v>
      </c>
      <c r="B213" s="1" t="s">
        <v>3031</v>
      </c>
    </row>
    <row r="214" spans="1:2" x14ac:dyDescent="0.2">
      <c r="A214" s="1" t="s">
        <v>3031</v>
      </c>
      <c r="B214" s="1" t="s">
        <v>3031</v>
      </c>
    </row>
    <row r="215" spans="1:2" x14ac:dyDescent="0.2">
      <c r="A215" s="1" t="s">
        <v>3031</v>
      </c>
      <c r="B215" s="1" t="s">
        <v>3031</v>
      </c>
    </row>
    <row r="216" spans="1:2" x14ac:dyDescent="0.2">
      <c r="A216" s="1" t="s">
        <v>3031</v>
      </c>
      <c r="B216" s="1" t="s">
        <v>3031</v>
      </c>
    </row>
    <row r="217" spans="1:2" x14ac:dyDescent="0.2">
      <c r="A217" s="1" t="s">
        <v>3031</v>
      </c>
      <c r="B217" s="1" t="s">
        <v>3031</v>
      </c>
    </row>
    <row r="218" spans="1:2" x14ac:dyDescent="0.2">
      <c r="A218" s="1" t="s">
        <v>3031</v>
      </c>
      <c r="B218" s="1" t="s">
        <v>3031</v>
      </c>
    </row>
    <row r="219" spans="1:2" x14ac:dyDescent="0.2">
      <c r="A219" s="1" t="s">
        <v>3031</v>
      </c>
      <c r="B219" s="1" t="s">
        <v>3031</v>
      </c>
    </row>
    <row r="220" spans="1:2" x14ac:dyDescent="0.2">
      <c r="A220" s="1" t="s">
        <v>3031</v>
      </c>
      <c r="B220" s="1" t="s">
        <v>3031</v>
      </c>
    </row>
    <row r="221" spans="1:2" x14ac:dyDescent="0.2">
      <c r="A221" s="1" t="s">
        <v>3031</v>
      </c>
      <c r="B221" s="1" t="s">
        <v>3031</v>
      </c>
    </row>
    <row r="222" spans="1:2" x14ac:dyDescent="0.2">
      <c r="A222" s="1" t="s">
        <v>3031</v>
      </c>
      <c r="B222" s="1" t="s">
        <v>3031</v>
      </c>
    </row>
    <row r="223" spans="1:2" x14ac:dyDescent="0.2">
      <c r="A223" s="1" t="s">
        <v>3031</v>
      </c>
      <c r="B223" s="1" t="s">
        <v>3031</v>
      </c>
    </row>
    <row r="224" spans="1:2" x14ac:dyDescent="0.2">
      <c r="A224" s="1" t="s">
        <v>3031</v>
      </c>
      <c r="B224" s="1" t="s">
        <v>3031</v>
      </c>
    </row>
    <row r="225" spans="1:2" x14ac:dyDescent="0.2">
      <c r="A225" s="1" t="s">
        <v>3031</v>
      </c>
      <c r="B225" s="1" t="s">
        <v>3031</v>
      </c>
    </row>
    <row r="226" spans="1:2" x14ac:dyDescent="0.2">
      <c r="A226" s="1" t="s">
        <v>3031</v>
      </c>
      <c r="B226" s="1" t="s">
        <v>3031</v>
      </c>
    </row>
    <row r="227" spans="1:2" x14ac:dyDescent="0.2">
      <c r="A227" s="1" t="s">
        <v>3031</v>
      </c>
      <c r="B227" s="1" t="s">
        <v>3031</v>
      </c>
    </row>
    <row r="228" spans="1:2" x14ac:dyDescent="0.2">
      <c r="A228" s="1" t="s">
        <v>3031</v>
      </c>
      <c r="B228" s="1" t="s">
        <v>3031</v>
      </c>
    </row>
    <row r="229" spans="1:2" x14ac:dyDescent="0.2">
      <c r="A229" s="1" t="s">
        <v>3031</v>
      </c>
      <c r="B229" s="1" t="s">
        <v>3031</v>
      </c>
    </row>
    <row r="230" spans="1:2" x14ac:dyDescent="0.2">
      <c r="A230" s="1" t="s">
        <v>3031</v>
      </c>
      <c r="B230" s="1" t="s">
        <v>3031</v>
      </c>
    </row>
    <row r="231" spans="1:2" x14ac:dyDescent="0.2">
      <c r="A231" s="1" t="s">
        <v>3031</v>
      </c>
      <c r="B231" s="1" t="s">
        <v>3031</v>
      </c>
    </row>
    <row r="232" spans="1:2" x14ac:dyDescent="0.2">
      <c r="A232" s="1" t="s">
        <v>3031</v>
      </c>
      <c r="B232" s="1" t="s">
        <v>3031</v>
      </c>
    </row>
    <row r="233" spans="1:2" x14ac:dyDescent="0.2">
      <c r="A233" s="1" t="s">
        <v>3031</v>
      </c>
      <c r="B233" s="1" t="s">
        <v>3031</v>
      </c>
    </row>
    <row r="234" spans="1:2" x14ac:dyDescent="0.2">
      <c r="A234" s="1" t="s">
        <v>3031</v>
      </c>
      <c r="B234" s="1" t="s">
        <v>3031</v>
      </c>
    </row>
    <row r="235" spans="1:2" x14ac:dyDescent="0.2">
      <c r="A235" s="1" t="s">
        <v>3031</v>
      </c>
      <c r="B235" s="1" t="s">
        <v>3031</v>
      </c>
    </row>
    <row r="236" spans="1:2" x14ac:dyDescent="0.2">
      <c r="A236" s="1" t="s">
        <v>3031</v>
      </c>
      <c r="B236" s="1" t="s">
        <v>3031</v>
      </c>
    </row>
    <row r="237" spans="1:2" x14ac:dyDescent="0.2">
      <c r="A237" s="1" t="s">
        <v>3031</v>
      </c>
      <c r="B237" s="1" t="s">
        <v>3031</v>
      </c>
    </row>
    <row r="238" spans="1:2" x14ac:dyDescent="0.2">
      <c r="A238" s="1" t="s">
        <v>3031</v>
      </c>
      <c r="B238" s="1" t="s">
        <v>3031</v>
      </c>
    </row>
    <row r="239" spans="1:2" x14ac:dyDescent="0.2">
      <c r="A239" s="1" t="s">
        <v>3031</v>
      </c>
      <c r="B239" s="1" t="s">
        <v>3031</v>
      </c>
    </row>
    <row r="240" spans="1:2" x14ac:dyDescent="0.2">
      <c r="A240" s="1" t="s">
        <v>3031</v>
      </c>
      <c r="B240" s="1" t="s">
        <v>3031</v>
      </c>
    </row>
    <row r="241" spans="1:2" x14ac:dyDescent="0.2">
      <c r="A241" s="1" t="s">
        <v>3031</v>
      </c>
      <c r="B241" s="1" t="s">
        <v>3031</v>
      </c>
    </row>
    <row r="242" spans="1:2" x14ac:dyDescent="0.2">
      <c r="A242" s="1" t="s">
        <v>3031</v>
      </c>
      <c r="B242" s="1" t="s">
        <v>3031</v>
      </c>
    </row>
    <row r="243" spans="1:2" x14ac:dyDescent="0.2">
      <c r="A243" s="1" t="s">
        <v>3031</v>
      </c>
      <c r="B243" s="1" t="s">
        <v>3031</v>
      </c>
    </row>
    <row r="244" spans="1:2" x14ac:dyDescent="0.2">
      <c r="A244" s="1" t="s">
        <v>3031</v>
      </c>
      <c r="B244" s="1" t="s">
        <v>3031</v>
      </c>
    </row>
    <row r="245" spans="1:2" x14ac:dyDescent="0.2">
      <c r="A245" s="1" t="s">
        <v>3031</v>
      </c>
      <c r="B245" s="1" t="s">
        <v>3031</v>
      </c>
    </row>
    <row r="246" spans="1:2" x14ac:dyDescent="0.2">
      <c r="A246" s="1" t="s">
        <v>3031</v>
      </c>
      <c r="B246" s="1" t="s">
        <v>3031</v>
      </c>
    </row>
    <row r="247" spans="1:2" x14ac:dyDescent="0.2">
      <c r="A247" s="1" t="s">
        <v>3031</v>
      </c>
      <c r="B247" s="1" t="s">
        <v>3031</v>
      </c>
    </row>
    <row r="248" spans="1:2" x14ac:dyDescent="0.2">
      <c r="A248" s="1" t="s">
        <v>3031</v>
      </c>
      <c r="B248" s="1" t="s">
        <v>3031</v>
      </c>
    </row>
    <row r="249" spans="1:2" x14ac:dyDescent="0.2">
      <c r="A249" s="1" t="s">
        <v>3031</v>
      </c>
      <c r="B249" s="1" t="s">
        <v>3031</v>
      </c>
    </row>
    <row r="250" spans="1:2" x14ac:dyDescent="0.2">
      <c r="A250" s="1" t="s">
        <v>3031</v>
      </c>
      <c r="B250" s="1" t="s">
        <v>3031</v>
      </c>
    </row>
    <row r="251" spans="1:2" x14ac:dyDescent="0.2">
      <c r="A251" s="1" t="s">
        <v>3031</v>
      </c>
      <c r="B251" s="1" t="s">
        <v>3031</v>
      </c>
    </row>
    <row r="252" spans="1:2" x14ac:dyDescent="0.2">
      <c r="A252" s="1" t="s">
        <v>3031</v>
      </c>
      <c r="B252" s="1" t="s">
        <v>3031</v>
      </c>
    </row>
    <row r="253" spans="1:2" x14ac:dyDescent="0.2">
      <c r="A253" s="1" t="s">
        <v>3031</v>
      </c>
      <c r="B253" s="1" t="s">
        <v>3031</v>
      </c>
    </row>
    <row r="254" spans="1:2" x14ac:dyDescent="0.2">
      <c r="A254" s="1" t="s">
        <v>3031</v>
      </c>
      <c r="B254" s="1" t="s">
        <v>3031</v>
      </c>
    </row>
    <row r="255" spans="1:2" x14ac:dyDescent="0.2">
      <c r="A255" s="1" t="s">
        <v>3031</v>
      </c>
      <c r="B255" s="1" t="s">
        <v>3031</v>
      </c>
    </row>
    <row r="256" spans="1:2" x14ac:dyDescent="0.2">
      <c r="A256" s="1" t="s">
        <v>3031</v>
      </c>
      <c r="B256" s="1" t="s">
        <v>3031</v>
      </c>
    </row>
    <row r="257" spans="1:2" x14ac:dyDescent="0.2">
      <c r="A257" s="1" t="s">
        <v>3031</v>
      </c>
      <c r="B257" s="1" t="s">
        <v>3031</v>
      </c>
    </row>
    <row r="258" spans="1:2" x14ac:dyDescent="0.2">
      <c r="A258" s="1" t="s">
        <v>3031</v>
      </c>
      <c r="B258" s="1" t="s">
        <v>3031</v>
      </c>
    </row>
    <row r="259" spans="1:2" x14ac:dyDescent="0.2">
      <c r="A259" s="1" t="s">
        <v>3031</v>
      </c>
      <c r="B259" s="1" t="s">
        <v>3031</v>
      </c>
    </row>
    <row r="260" spans="1:2" x14ac:dyDescent="0.2">
      <c r="A260" s="1" t="s">
        <v>3031</v>
      </c>
      <c r="B260" s="1" t="s">
        <v>3031</v>
      </c>
    </row>
    <row r="261" spans="1:2" x14ac:dyDescent="0.2">
      <c r="A261" s="1" t="s">
        <v>3031</v>
      </c>
      <c r="B261" s="1" t="s">
        <v>3031</v>
      </c>
    </row>
    <row r="262" spans="1:2" x14ac:dyDescent="0.2">
      <c r="A262" s="1" t="s">
        <v>3031</v>
      </c>
      <c r="B262" s="1" t="s">
        <v>3031</v>
      </c>
    </row>
    <row r="263" spans="1:2" x14ac:dyDescent="0.2">
      <c r="A263" s="1" t="s">
        <v>3031</v>
      </c>
      <c r="B263" s="1" t="s">
        <v>3031</v>
      </c>
    </row>
    <row r="264" spans="1:2" x14ac:dyDescent="0.2">
      <c r="A264" s="1" t="s">
        <v>3031</v>
      </c>
      <c r="B264" s="1" t="s">
        <v>3031</v>
      </c>
    </row>
    <row r="265" spans="1:2" x14ac:dyDescent="0.2">
      <c r="A265" s="1" t="s">
        <v>3031</v>
      </c>
      <c r="B265" s="1" t="s">
        <v>3031</v>
      </c>
    </row>
    <row r="266" spans="1:2" x14ac:dyDescent="0.2">
      <c r="A266" s="1" t="s">
        <v>3031</v>
      </c>
      <c r="B266" s="1" t="s">
        <v>3031</v>
      </c>
    </row>
    <row r="267" spans="1:2" x14ac:dyDescent="0.2">
      <c r="A267" s="1" t="s">
        <v>3031</v>
      </c>
      <c r="B267" s="1" t="s">
        <v>3031</v>
      </c>
    </row>
    <row r="268" spans="1:2" x14ac:dyDescent="0.2">
      <c r="A268" s="1" t="s">
        <v>3031</v>
      </c>
      <c r="B268" s="1" t="s">
        <v>3031</v>
      </c>
    </row>
    <row r="269" spans="1:2" x14ac:dyDescent="0.2">
      <c r="A269" s="1" t="s">
        <v>3031</v>
      </c>
      <c r="B269" s="1" t="s">
        <v>3031</v>
      </c>
    </row>
    <row r="270" spans="1:2" x14ac:dyDescent="0.2">
      <c r="A270" s="1" t="s">
        <v>3031</v>
      </c>
      <c r="B270" s="1" t="s">
        <v>3031</v>
      </c>
    </row>
    <row r="271" spans="1:2" x14ac:dyDescent="0.2">
      <c r="A271" s="1" t="s">
        <v>3031</v>
      </c>
      <c r="B271" s="1" t="s">
        <v>3031</v>
      </c>
    </row>
    <row r="272" spans="1:2" x14ac:dyDescent="0.2">
      <c r="A272" s="1" t="s">
        <v>3031</v>
      </c>
      <c r="B272" s="1" t="s">
        <v>3031</v>
      </c>
    </row>
    <row r="273" spans="1:2" x14ac:dyDescent="0.2">
      <c r="A273" s="1" t="s">
        <v>3031</v>
      </c>
      <c r="B273" s="1" t="s">
        <v>3031</v>
      </c>
    </row>
    <row r="274" spans="1:2" x14ac:dyDescent="0.2">
      <c r="A274" s="1" t="s">
        <v>3031</v>
      </c>
      <c r="B274" s="1" t="s">
        <v>3031</v>
      </c>
    </row>
    <row r="275" spans="1:2" x14ac:dyDescent="0.2">
      <c r="A275" s="1" t="s">
        <v>3031</v>
      </c>
      <c r="B275" s="1" t="s">
        <v>3031</v>
      </c>
    </row>
    <row r="276" spans="1:2" x14ac:dyDescent="0.2">
      <c r="A276" s="1" t="s">
        <v>3031</v>
      </c>
      <c r="B276" s="1" t="s">
        <v>3031</v>
      </c>
    </row>
    <row r="277" spans="1:2" x14ac:dyDescent="0.2">
      <c r="A277" s="1" t="s">
        <v>3031</v>
      </c>
      <c r="B277" s="1" t="s">
        <v>3031</v>
      </c>
    </row>
    <row r="278" spans="1:2" x14ac:dyDescent="0.2">
      <c r="A278" s="1" t="s">
        <v>3031</v>
      </c>
      <c r="B278" s="1" t="s">
        <v>3031</v>
      </c>
    </row>
    <row r="279" spans="1:2" x14ac:dyDescent="0.2">
      <c r="A279" s="1" t="s">
        <v>3031</v>
      </c>
      <c r="B279" s="1" t="s">
        <v>3031</v>
      </c>
    </row>
    <row r="280" spans="1:2" x14ac:dyDescent="0.2">
      <c r="A280" s="1" t="s">
        <v>3031</v>
      </c>
      <c r="B280" s="1" t="s">
        <v>3031</v>
      </c>
    </row>
    <row r="281" spans="1:2" x14ac:dyDescent="0.2">
      <c r="A281" s="1" t="s">
        <v>3031</v>
      </c>
      <c r="B281" s="1" t="s">
        <v>3031</v>
      </c>
    </row>
    <row r="282" spans="1:2" x14ac:dyDescent="0.2">
      <c r="A282" s="1" t="s">
        <v>3031</v>
      </c>
      <c r="B282" s="1" t="s">
        <v>3031</v>
      </c>
    </row>
    <row r="283" spans="1:2" x14ac:dyDescent="0.2">
      <c r="A283" s="1" t="s">
        <v>3031</v>
      </c>
      <c r="B283" s="1" t="s">
        <v>3031</v>
      </c>
    </row>
    <row r="284" spans="1:2" x14ac:dyDescent="0.2">
      <c r="A284" s="1" t="s">
        <v>3031</v>
      </c>
      <c r="B284" s="1" t="s">
        <v>3031</v>
      </c>
    </row>
    <row r="285" spans="1:2" x14ac:dyDescent="0.2">
      <c r="A285" s="1" t="s">
        <v>3031</v>
      </c>
      <c r="B285" s="1" t="s">
        <v>3031</v>
      </c>
    </row>
    <row r="286" spans="1:2" x14ac:dyDescent="0.2">
      <c r="A286" s="1" t="s">
        <v>3031</v>
      </c>
      <c r="B286" s="1" t="s">
        <v>3031</v>
      </c>
    </row>
    <row r="287" spans="1:2" x14ac:dyDescent="0.2">
      <c r="A287" s="1" t="s">
        <v>3031</v>
      </c>
      <c r="B287" s="1" t="s">
        <v>3031</v>
      </c>
    </row>
    <row r="288" spans="1:2" x14ac:dyDescent="0.2">
      <c r="A288" s="1" t="s">
        <v>3031</v>
      </c>
      <c r="B288" s="1" t="s">
        <v>3031</v>
      </c>
    </row>
    <row r="289" spans="1:2" x14ac:dyDescent="0.2">
      <c r="A289" s="1" t="s">
        <v>3031</v>
      </c>
      <c r="B289" s="1" t="s">
        <v>3031</v>
      </c>
    </row>
    <row r="290" spans="1:2" x14ac:dyDescent="0.2">
      <c r="A290" s="1" t="s">
        <v>3031</v>
      </c>
      <c r="B290" s="1" t="s">
        <v>3031</v>
      </c>
    </row>
    <row r="291" spans="1:2" x14ac:dyDescent="0.2">
      <c r="A291" s="1" t="s">
        <v>3031</v>
      </c>
      <c r="B291" s="1" t="s">
        <v>3031</v>
      </c>
    </row>
    <row r="292" spans="1:2" x14ac:dyDescent="0.2">
      <c r="A292" s="1" t="s">
        <v>3031</v>
      </c>
      <c r="B292" s="1" t="s">
        <v>3031</v>
      </c>
    </row>
    <row r="293" spans="1:2" x14ac:dyDescent="0.2">
      <c r="A293" s="1" t="s">
        <v>3031</v>
      </c>
      <c r="B293" s="1" t="s">
        <v>3031</v>
      </c>
    </row>
    <row r="294" spans="1:2" x14ac:dyDescent="0.2">
      <c r="A294" s="1" t="s">
        <v>3031</v>
      </c>
      <c r="B294" s="1" t="s">
        <v>3031</v>
      </c>
    </row>
    <row r="295" spans="1:2" x14ac:dyDescent="0.2">
      <c r="A295" s="1" t="s">
        <v>3031</v>
      </c>
      <c r="B295" s="1" t="s">
        <v>3031</v>
      </c>
    </row>
    <row r="296" spans="1:2" x14ac:dyDescent="0.2">
      <c r="A296" s="1" t="s">
        <v>3031</v>
      </c>
      <c r="B296" s="1" t="s">
        <v>3031</v>
      </c>
    </row>
    <row r="297" spans="1:2" x14ac:dyDescent="0.2">
      <c r="A297" s="1" t="s">
        <v>3031</v>
      </c>
      <c r="B297" s="1" t="s">
        <v>3031</v>
      </c>
    </row>
    <row r="298" spans="1:2" x14ac:dyDescent="0.2">
      <c r="A298" s="1" t="s">
        <v>3031</v>
      </c>
      <c r="B298" s="1" t="s">
        <v>3031</v>
      </c>
    </row>
    <row r="299" spans="1:2" x14ac:dyDescent="0.2">
      <c r="A299" s="1" t="s">
        <v>3031</v>
      </c>
      <c r="B299" s="1" t="s">
        <v>3031</v>
      </c>
    </row>
    <row r="300" spans="1:2" x14ac:dyDescent="0.2">
      <c r="A300" s="1" t="s">
        <v>3031</v>
      </c>
      <c r="B300" s="1" t="s">
        <v>3031</v>
      </c>
    </row>
    <row r="301" spans="1:2" x14ac:dyDescent="0.2">
      <c r="A301" s="1" t="s">
        <v>3031</v>
      </c>
      <c r="B301" s="1" t="s">
        <v>3031</v>
      </c>
    </row>
    <row r="302" spans="1:2" x14ac:dyDescent="0.2">
      <c r="A302" s="1" t="s">
        <v>3031</v>
      </c>
      <c r="B302" s="1" t="s">
        <v>3031</v>
      </c>
    </row>
    <row r="303" spans="1:2" x14ac:dyDescent="0.2">
      <c r="A303" s="1" t="s">
        <v>3031</v>
      </c>
      <c r="B303" s="1" t="s">
        <v>3031</v>
      </c>
    </row>
    <row r="304" spans="1:2" x14ac:dyDescent="0.2">
      <c r="A304" s="1" t="s">
        <v>3031</v>
      </c>
      <c r="B304" s="1" t="s">
        <v>3031</v>
      </c>
    </row>
    <row r="305" spans="1:2" x14ac:dyDescent="0.2">
      <c r="A305" s="1" t="s">
        <v>3031</v>
      </c>
      <c r="B305" s="1" t="s">
        <v>3031</v>
      </c>
    </row>
    <row r="306" spans="1:2" x14ac:dyDescent="0.2">
      <c r="A306" s="1" t="s">
        <v>3031</v>
      </c>
      <c r="B306" s="1" t="s">
        <v>3031</v>
      </c>
    </row>
    <row r="307" spans="1:2" x14ac:dyDescent="0.2">
      <c r="A307" s="1" t="s">
        <v>3031</v>
      </c>
      <c r="B307" s="1" t="s">
        <v>3031</v>
      </c>
    </row>
    <row r="308" spans="1:2" x14ac:dyDescent="0.2">
      <c r="A308" s="1" t="s">
        <v>3031</v>
      </c>
      <c r="B308" s="1" t="s">
        <v>3031</v>
      </c>
    </row>
    <row r="309" spans="1:2" x14ac:dyDescent="0.2">
      <c r="A309" s="1" t="s">
        <v>3031</v>
      </c>
      <c r="B309" s="1" t="s">
        <v>3031</v>
      </c>
    </row>
    <row r="310" spans="1:2" x14ac:dyDescent="0.2">
      <c r="A310" s="1" t="s">
        <v>3031</v>
      </c>
      <c r="B310" s="1" t="s">
        <v>3031</v>
      </c>
    </row>
    <row r="311" spans="1:2" x14ac:dyDescent="0.2">
      <c r="A311" s="1" t="s">
        <v>3031</v>
      </c>
      <c r="B311" s="1" t="s">
        <v>3031</v>
      </c>
    </row>
    <row r="312" spans="1:2" x14ac:dyDescent="0.2">
      <c r="A312" s="1" t="s">
        <v>3031</v>
      </c>
      <c r="B312" s="1" t="s">
        <v>3031</v>
      </c>
    </row>
    <row r="313" spans="1:2" x14ac:dyDescent="0.2">
      <c r="A313" s="1" t="s">
        <v>3031</v>
      </c>
      <c r="B313" s="1" t="s">
        <v>3031</v>
      </c>
    </row>
    <row r="314" spans="1:2" x14ac:dyDescent="0.2">
      <c r="A314" s="1" t="s">
        <v>3031</v>
      </c>
      <c r="B314" s="1" t="s">
        <v>3031</v>
      </c>
    </row>
    <row r="315" spans="1:2" x14ac:dyDescent="0.2">
      <c r="A315" s="1" t="s">
        <v>3031</v>
      </c>
      <c r="B315" s="1" t="s">
        <v>3031</v>
      </c>
    </row>
    <row r="316" spans="1:2" x14ac:dyDescent="0.2">
      <c r="A316" s="1" t="s">
        <v>3031</v>
      </c>
      <c r="B316" s="1" t="s">
        <v>3031</v>
      </c>
    </row>
    <row r="317" spans="1:2" x14ac:dyDescent="0.2">
      <c r="A317" s="1" t="s">
        <v>3031</v>
      </c>
      <c r="B317" s="1" t="s">
        <v>3031</v>
      </c>
    </row>
    <row r="318" spans="1:2" x14ac:dyDescent="0.2">
      <c r="A318" s="1" t="s">
        <v>3031</v>
      </c>
      <c r="B318" s="1" t="s">
        <v>3031</v>
      </c>
    </row>
    <row r="319" spans="1:2" x14ac:dyDescent="0.2">
      <c r="A319" s="1" t="s">
        <v>3031</v>
      </c>
      <c r="B319" s="1" t="s">
        <v>3031</v>
      </c>
    </row>
    <row r="320" spans="1:2" x14ac:dyDescent="0.2">
      <c r="A320" s="1" t="s">
        <v>3031</v>
      </c>
      <c r="B320" s="1" t="s">
        <v>3031</v>
      </c>
    </row>
    <row r="321" spans="1:2" x14ac:dyDescent="0.2">
      <c r="A321" s="1" t="s">
        <v>3031</v>
      </c>
      <c r="B321" s="1" t="s">
        <v>3031</v>
      </c>
    </row>
    <row r="322" spans="1:2" x14ac:dyDescent="0.2">
      <c r="A322" s="1" t="s">
        <v>3031</v>
      </c>
      <c r="B322" s="1" t="s">
        <v>3031</v>
      </c>
    </row>
    <row r="323" spans="1:2" x14ac:dyDescent="0.2">
      <c r="A323" s="1" t="s">
        <v>3031</v>
      </c>
      <c r="B323" s="1" t="s">
        <v>3031</v>
      </c>
    </row>
    <row r="324" spans="1:2" x14ac:dyDescent="0.2">
      <c r="A324" s="1" t="s">
        <v>3031</v>
      </c>
      <c r="B324" s="1" t="s">
        <v>3031</v>
      </c>
    </row>
    <row r="325" spans="1:2" x14ac:dyDescent="0.2">
      <c r="A325" s="1" t="s">
        <v>3031</v>
      </c>
      <c r="B325" s="1" t="s">
        <v>3031</v>
      </c>
    </row>
    <row r="326" spans="1:2" x14ac:dyDescent="0.2">
      <c r="A326" s="1" t="s">
        <v>3031</v>
      </c>
      <c r="B326" s="1" t="s">
        <v>3031</v>
      </c>
    </row>
    <row r="327" spans="1:2" x14ac:dyDescent="0.2">
      <c r="A327" s="1" t="s">
        <v>3031</v>
      </c>
      <c r="B327" s="1" t="s">
        <v>3031</v>
      </c>
    </row>
    <row r="328" spans="1:2" x14ac:dyDescent="0.2">
      <c r="A328" s="1" t="s">
        <v>3031</v>
      </c>
      <c r="B328" s="1" t="s">
        <v>3031</v>
      </c>
    </row>
    <row r="329" spans="1:2" x14ac:dyDescent="0.2">
      <c r="A329" s="1" t="s">
        <v>3031</v>
      </c>
      <c r="B329" s="1" t="s">
        <v>3031</v>
      </c>
    </row>
    <row r="330" spans="1:2" x14ac:dyDescent="0.2">
      <c r="A330" s="1" t="s">
        <v>3031</v>
      </c>
      <c r="B330" s="1" t="s">
        <v>3031</v>
      </c>
    </row>
    <row r="331" spans="1:2" x14ac:dyDescent="0.2">
      <c r="A331" s="1" t="s">
        <v>3031</v>
      </c>
      <c r="B331" s="1" t="s">
        <v>3031</v>
      </c>
    </row>
    <row r="332" spans="1:2" x14ac:dyDescent="0.2">
      <c r="A332" s="1" t="s">
        <v>3031</v>
      </c>
      <c r="B332" s="1" t="s">
        <v>3031</v>
      </c>
    </row>
    <row r="333" spans="1:2" x14ac:dyDescent="0.2">
      <c r="A333" s="1" t="s">
        <v>3031</v>
      </c>
      <c r="B333" s="1" t="s">
        <v>3031</v>
      </c>
    </row>
    <row r="334" spans="1:2" x14ac:dyDescent="0.2">
      <c r="A334" s="1" t="s">
        <v>3031</v>
      </c>
      <c r="B334" s="1" t="s">
        <v>3031</v>
      </c>
    </row>
    <row r="335" spans="1:2" x14ac:dyDescent="0.2">
      <c r="A335" s="1" t="s">
        <v>3031</v>
      </c>
      <c r="B335" s="1" t="s">
        <v>3031</v>
      </c>
    </row>
    <row r="336" spans="1:2" x14ac:dyDescent="0.2">
      <c r="A336" s="1" t="s">
        <v>3031</v>
      </c>
      <c r="B336" s="1" t="s">
        <v>3031</v>
      </c>
    </row>
    <row r="337" spans="1:2" x14ac:dyDescent="0.2">
      <c r="A337" s="1" t="s">
        <v>3031</v>
      </c>
      <c r="B337" s="1" t="s">
        <v>3031</v>
      </c>
    </row>
    <row r="338" spans="1:2" x14ac:dyDescent="0.2">
      <c r="A338" s="1" t="s">
        <v>3031</v>
      </c>
      <c r="B338" s="1" t="s">
        <v>3031</v>
      </c>
    </row>
    <row r="339" spans="1:2" x14ac:dyDescent="0.2">
      <c r="A339" s="1" t="s">
        <v>3031</v>
      </c>
      <c r="B339" s="1" t="s">
        <v>3031</v>
      </c>
    </row>
    <row r="340" spans="1:2" x14ac:dyDescent="0.2">
      <c r="A340" s="1" t="s">
        <v>3031</v>
      </c>
      <c r="B340" s="1" t="s">
        <v>3031</v>
      </c>
    </row>
    <row r="341" spans="1:2" x14ac:dyDescent="0.2">
      <c r="A341" s="1" t="s">
        <v>3031</v>
      </c>
      <c r="B341" s="1" t="s">
        <v>3031</v>
      </c>
    </row>
    <row r="342" spans="1:2" x14ac:dyDescent="0.2">
      <c r="A342" s="1" t="s">
        <v>3031</v>
      </c>
      <c r="B342" s="1" t="s">
        <v>3031</v>
      </c>
    </row>
    <row r="343" spans="1:2" x14ac:dyDescent="0.2">
      <c r="A343" s="1" t="s">
        <v>3031</v>
      </c>
      <c r="B343" s="1" t="s">
        <v>3031</v>
      </c>
    </row>
    <row r="344" spans="1:2" x14ac:dyDescent="0.2">
      <c r="A344" s="1" t="s">
        <v>3031</v>
      </c>
      <c r="B344" s="1" t="s">
        <v>3031</v>
      </c>
    </row>
    <row r="345" spans="1:2" x14ac:dyDescent="0.2">
      <c r="A345" s="1" t="s">
        <v>3031</v>
      </c>
      <c r="B345" s="1" t="s">
        <v>3031</v>
      </c>
    </row>
    <row r="346" spans="1:2" x14ac:dyDescent="0.2">
      <c r="A346" s="1" t="s">
        <v>3031</v>
      </c>
      <c r="B346" s="1" t="s">
        <v>3031</v>
      </c>
    </row>
    <row r="347" spans="1:2" x14ac:dyDescent="0.2">
      <c r="A347" s="1" t="s">
        <v>3031</v>
      </c>
      <c r="B347" s="1" t="s">
        <v>3031</v>
      </c>
    </row>
    <row r="348" spans="1:2" x14ac:dyDescent="0.2">
      <c r="A348" s="1" t="s">
        <v>3031</v>
      </c>
      <c r="B348" s="1" t="s">
        <v>3031</v>
      </c>
    </row>
    <row r="349" spans="1:2" x14ac:dyDescent="0.2">
      <c r="A349" s="1" t="s">
        <v>3031</v>
      </c>
      <c r="B349" s="1" t="s">
        <v>3031</v>
      </c>
    </row>
    <row r="350" spans="1:2" x14ac:dyDescent="0.2">
      <c r="A350" s="1" t="s">
        <v>3031</v>
      </c>
      <c r="B350" s="1" t="s">
        <v>3031</v>
      </c>
    </row>
    <row r="351" spans="1:2" x14ac:dyDescent="0.2">
      <c r="A351" s="1" t="s">
        <v>3031</v>
      </c>
      <c r="B351" s="1" t="s">
        <v>3031</v>
      </c>
    </row>
    <row r="352" spans="1:2" x14ac:dyDescent="0.2">
      <c r="A352" s="1" t="s">
        <v>3031</v>
      </c>
      <c r="B352" s="1" t="s">
        <v>3031</v>
      </c>
    </row>
    <row r="353" spans="1:2" x14ac:dyDescent="0.2">
      <c r="A353" s="1" t="s">
        <v>3031</v>
      </c>
      <c r="B353" s="1" t="s">
        <v>3031</v>
      </c>
    </row>
    <row r="354" spans="1:2" x14ac:dyDescent="0.2">
      <c r="A354" s="1" t="s">
        <v>3031</v>
      </c>
      <c r="B354" s="1" t="s">
        <v>3031</v>
      </c>
    </row>
    <row r="355" spans="1:2" x14ac:dyDescent="0.2">
      <c r="A355" s="1" t="s">
        <v>3031</v>
      </c>
      <c r="B355" s="1" t="s">
        <v>3031</v>
      </c>
    </row>
    <row r="356" spans="1:2" x14ac:dyDescent="0.2">
      <c r="A356" s="1" t="s">
        <v>3031</v>
      </c>
      <c r="B356" s="1" t="s">
        <v>3031</v>
      </c>
    </row>
    <row r="357" spans="1:2" x14ac:dyDescent="0.2">
      <c r="A357" s="1" t="s">
        <v>3031</v>
      </c>
      <c r="B357" s="1" t="s">
        <v>3031</v>
      </c>
    </row>
    <row r="358" spans="1:2" x14ac:dyDescent="0.2">
      <c r="A358" s="1" t="s">
        <v>3031</v>
      </c>
      <c r="B358" s="1" t="s">
        <v>3031</v>
      </c>
    </row>
    <row r="359" spans="1:2" x14ac:dyDescent="0.2">
      <c r="A359" s="1" t="s">
        <v>3031</v>
      </c>
      <c r="B359" s="1" t="s">
        <v>3031</v>
      </c>
    </row>
    <row r="360" spans="1:2" x14ac:dyDescent="0.2">
      <c r="A360" s="1" t="s">
        <v>3031</v>
      </c>
      <c r="B360" s="1" t="s">
        <v>3031</v>
      </c>
    </row>
    <row r="361" spans="1:2" x14ac:dyDescent="0.2">
      <c r="A361" s="1" t="s">
        <v>3031</v>
      </c>
      <c r="B361" s="1" t="s">
        <v>3031</v>
      </c>
    </row>
    <row r="362" spans="1:2" x14ac:dyDescent="0.2">
      <c r="A362" s="1" t="s">
        <v>3031</v>
      </c>
      <c r="B362" s="1" t="s">
        <v>3031</v>
      </c>
    </row>
    <row r="363" spans="1:2" x14ac:dyDescent="0.2">
      <c r="A363" s="1" t="s">
        <v>3031</v>
      </c>
      <c r="B363" s="1" t="s">
        <v>3031</v>
      </c>
    </row>
    <row r="364" spans="1:2" x14ac:dyDescent="0.2">
      <c r="A364" s="1" t="s">
        <v>3031</v>
      </c>
      <c r="B364" s="1" t="s">
        <v>3031</v>
      </c>
    </row>
    <row r="365" spans="1:2" x14ac:dyDescent="0.2">
      <c r="A365" s="1" t="s">
        <v>3031</v>
      </c>
      <c r="B365" s="1" t="s">
        <v>3031</v>
      </c>
    </row>
    <row r="366" spans="1:2" x14ac:dyDescent="0.2">
      <c r="A366" s="1" t="s">
        <v>3031</v>
      </c>
      <c r="B366" s="1" t="s">
        <v>3031</v>
      </c>
    </row>
    <row r="367" spans="1:2" x14ac:dyDescent="0.2">
      <c r="A367" s="1" t="s">
        <v>3031</v>
      </c>
      <c r="B367" s="1" t="s">
        <v>3031</v>
      </c>
    </row>
    <row r="368" spans="1:2" x14ac:dyDescent="0.2">
      <c r="A368" s="1" t="s">
        <v>3031</v>
      </c>
      <c r="B368" s="1" t="s">
        <v>3031</v>
      </c>
    </row>
    <row r="369" spans="1:2" x14ac:dyDescent="0.2">
      <c r="A369" s="1" t="s">
        <v>3031</v>
      </c>
      <c r="B369" s="1" t="s">
        <v>3031</v>
      </c>
    </row>
    <row r="370" spans="1:2" x14ac:dyDescent="0.2">
      <c r="A370" s="1" t="s">
        <v>3031</v>
      </c>
      <c r="B370" s="1" t="s">
        <v>3031</v>
      </c>
    </row>
    <row r="371" spans="1:2" x14ac:dyDescent="0.2">
      <c r="A371" s="1" t="s">
        <v>3031</v>
      </c>
      <c r="B371" s="1" t="s">
        <v>3031</v>
      </c>
    </row>
    <row r="372" spans="1:2" x14ac:dyDescent="0.2">
      <c r="A372" s="1" t="s">
        <v>3031</v>
      </c>
      <c r="B372" s="1" t="s">
        <v>3031</v>
      </c>
    </row>
    <row r="373" spans="1:2" x14ac:dyDescent="0.2">
      <c r="A373" s="1" t="s">
        <v>3031</v>
      </c>
      <c r="B373" s="1" t="s">
        <v>3031</v>
      </c>
    </row>
    <row r="374" spans="1:2" x14ac:dyDescent="0.2">
      <c r="A374" s="1" t="s">
        <v>3031</v>
      </c>
      <c r="B374" s="1" t="s">
        <v>3031</v>
      </c>
    </row>
    <row r="375" spans="1:2" x14ac:dyDescent="0.2">
      <c r="A375" s="1" t="s">
        <v>3031</v>
      </c>
      <c r="B375" s="1" t="s">
        <v>3031</v>
      </c>
    </row>
    <row r="376" spans="1:2" x14ac:dyDescent="0.2">
      <c r="A376" s="1" t="s">
        <v>3031</v>
      </c>
      <c r="B376" s="1" t="s">
        <v>3031</v>
      </c>
    </row>
    <row r="377" spans="1:2" x14ac:dyDescent="0.2">
      <c r="A377" s="1" t="s">
        <v>3031</v>
      </c>
      <c r="B377" s="1" t="s">
        <v>3031</v>
      </c>
    </row>
    <row r="378" spans="1:2" x14ac:dyDescent="0.2">
      <c r="A378" s="1" t="s">
        <v>3031</v>
      </c>
      <c r="B378" s="1" t="s">
        <v>3031</v>
      </c>
    </row>
    <row r="379" spans="1:2" x14ac:dyDescent="0.2">
      <c r="A379" s="1" t="s">
        <v>3031</v>
      </c>
      <c r="B379" s="1" t="s">
        <v>3031</v>
      </c>
    </row>
    <row r="380" spans="1:2" x14ac:dyDescent="0.2">
      <c r="A380" s="1" t="s">
        <v>3031</v>
      </c>
      <c r="B380" s="1" t="s">
        <v>3031</v>
      </c>
    </row>
    <row r="381" spans="1:2" x14ac:dyDescent="0.2">
      <c r="A381" s="1" t="s">
        <v>3031</v>
      </c>
      <c r="B381" s="1" t="s">
        <v>3031</v>
      </c>
    </row>
    <row r="382" spans="1:2" x14ac:dyDescent="0.2">
      <c r="A382" s="1" t="s">
        <v>3031</v>
      </c>
      <c r="B382" s="1" t="s">
        <v>3031</v>
      </c>
    </row>
    <row r="383" spans="1:2" x14ac:dyDescent="0.2">
      <c r="A383" s="1" t="s">
        <v>3031</v>
      </c>
      <c r="B383" s="1" t="s">
        <v>3031</v>
      </c>
    </row>
    <row r="384" spans="1:2" x14ac:dyDescent="0.2">
      <c r="A384" s="1" t="s">
        <v>3031</v>
      </c>
      <c r="B384" s="1" t="s">
        <v>3031</v>
      </c>
    </row>
    <row r="385" spans="1:2" x14ac:dyDescent="0.2">
      <c r="A385" s="1" t="s">
        <v>3031</v>
      </c>
      <c r="B385" s="1" t="s">
        <v>3031</v>
      </c>
    </row>
    <row r="386" spans="1:2" x14ac:dyDescent="0.2">
      <c r="A386" s="1" t="s">
        <v>3031</v>
      </c>
      <c r="B386" s="1" t="s">
        <v>3031</v>
      </c>
    </row>
    <row r="387" spans="1:2" x14ac:dyDescent="0.2">
      <c r="A387" s="1" t="s">
        <v>3031</v>
      </c>
      <c r="B387" s="1" t="s">
        <v>3031</v>
      </c>
    </row>
    <row r="388" spans="1:2" x14ac:dyDescent="0.2">
      <c r="A388" s="1" t="s">
        <v>3031</v>
      </c>
      <c r="B388" s="1" t="s">
        <v>3031</v>
      </c>
    </row>
    <row r="389" spans="1:2" x14ac:dyDescent="0.2">
      <c r="A389" s="1" t="s">
        <v>3031</v>
      </c>
      <c r="B389" s="1" t="s">
        <v>3031</v>
      </c>
    </row>
    <row r="390" spans="1:2" x14ac:dyDescent="0.2">
      <c r="A390" s="1" t="s">
        <v>3031</v>
      </c>
      <c r="B390" s="1" t="s">
        <v>3031</v>
      </c>
    </row>
    <row r="391" spans="1:2" x14ac:dyDescent="0.2">
      <c r="A391" s="1" t="s">
        <v>3031</v>
      </c>
      <c r="B391" s="1" t="s">
        <v>3031</v>
      </c>
    </row>
    <row r="392" spans="1:2" x14ac:dyDescent="0.2">
      <c r="A392" s="1" t="s">
        <v>3031</v>
      </c>
      <c r="B392" s="1" t="s">
        <v>3031</v>
      </c>
    </row>
    <row r="393" spans="1:2" x14ac:dyDescent="0.2">
      <c r="A393" s="1" t="s">
        <v>3031</v>
      </c>
      <c r="B393" s="1" t="s">
        <v>3031</v>
      </c>
    </row>
    <row r="394" spans="1:2" x14ac:dyDescent="0.2">
      <c r="A394" s="1" t="s">
        <v>3031</v>
      </c>
      <c r="B394" s="1" t="s">
        <v>3031</v>
      </c>
    </row>
    <row r="395" spans="1:2" x14ac:dyDescent="0.2">
      <c r="A395" s="1" t="s">
        <v>3031</v>
      </c>
      <c r="B395" s="1" t="s">
        <v>3031</v>
      </c>
    </row>
    <row r="396" spans="1:2" x14ac:dyDescent="0.2">
      <c r="A396" s="1" t="s">
        <v>3031</v>
      </c>
      <c r="B396" s="1" t="s">
        <v>3031</v>
      </c>
    </row>
    <row r="397" spans="1:2" x14ac:dyDescent="0.2">
      <c r="A397" s="1" t="s">
        <v>3031</v>
      </c>
      <c r="B397" s="1" t="s">
        <v>3031</v>
      </c>
    </row>
    <row r="398" spans="1:2" x14ac:dyDescent="0.2">
      <c r="A398" s="1" t="s">
        <v>3031</v>
      </c>
      <c r="B398" s="1" t="s">
        <v>3031</v>
      </c>
    </row>
    <row r="399" spans="1:2" x14ac:dyDescent="0.2">
      <c r="A399" s="1" t="s">
        <v>3031</v>
      </c>
      <c r="B399" s="1" t="s">
        <v>3031</v>
      </c>
    </row>
    <row r="400" spans="1:2" x14ac:dyDescent="0.2">
      <c r="A400" s="1" t="s">
        <v>3031</v>
      </c>
      <c r="B400" s="1" t="s">
        <v>3031</v>
      </c>
    </row>
    <row r="401" spans="1:2" x14ac:dyDescent="0.2">
      <c r="A401" s="1" t="s">
        <v>3031</v>
      </c>
      <c r="B401" s="1" t="s">
        <v>3031</v>
      </c>
    </row>
    <row r="402" spans="1:2" x14ac:dyDescent="0.2">
      <c r="A402" s="1" t="s">
        <v>3031</v>
      </c>
      <c r="B402" s="1" t="s">
        <v>3031</v>
      </c>
    </row>
    <row r="403" spans="1:2" x14ac:dyDescent="0.2">
      <c r="A403" s="1" t="s">
        <v>3031</v>
      </c>
      <c r="B403" s="1" t="s">
        <v>3031</v>
      </c>
    </row>
    <row r="404" spans="1:2" x14ac:dyDescent="0.2">
      <c r="A404" s="1" t="s">
        <v>3031</v>
      </c>
      <c r="B404" s="1" t="s">
        <v>3031</v>
      </c>
    </row>
    <row r="405" spans="1:2" x14ac:dyDescent="0.2">
      <c r="A405" s="1" t="s">
        <v>3031</v>
      </c>
      <c r="B405" s="1" t="s">
        <v>3031</v>
      </c>
    </row>
    <row r="406" spans="1:2" x14ac:dyDescent="0.2">
      <c r="A406" s="1" t="s">
        <v>3031</v>
      </c>
      <c r="B406" s="1" t="s">
        <v>3031</v>
      </c>
    </row>
    <row r="407" spans="1:2" x14ac:dyDescent="0.2">
      <c r="A407" s="1" t="s">
        <v>3031</v>
      </c>
      <c r="B407" s="1" t="s">
        <v>3031</v>
      </c>
    </row>
    <row r="408" spans="1:2" x14ac:dyDescent="0.2">
      <c r="A408" s="1" t="s">
        <v>3031</v>
      </c>
      <c r="B408" s="1" t="s">
        <v>3031</v>
      </c>
    </row>
    <row r="409" spans="1:2" x14ac:dyDescent="0.2">
      <c r="A409" s="1" t="s">
        <v>3031</v>
      </c>
      <c r="B409" s="1" t="s">
        <v>3031</v>
      </c>
    </row>
    <row r="410" spans="1:2" x14ac:dyDescent="0.2">
      <c r="A410" s="1" t="s">
        <v>3031</v>
      </c>
      <c r="B410" s="1" t="s">
        <v>3031</v>
      </c>
    </row>
    <row r="411" spans="1:2" x14ac:dyDescent="0.2">
      <c r="A411" s="1" t="s">
        <v>3031</v>
      </c>
      <c r="B411" s="1" t="s">
        <v>3031</v>
      </c>
    </row>
    <row r="412" spans="1:2" x14ac:dyDescent="0.2">
      <c r="A412" s="1" t="s">
        <v>3031</v>
      </c>
      <c r="B412" s="1" t="s">
        <v>3031</v>
      </c>
    </row>
    <row r="413" spans="1:2" x14ac:dyDescent="0.2">
      <c r="A413" s="1" t="s">
        <v>3031</v>
      </c>
      <c r="B413" s="1" t="s">
        <v>3031</v>
      </c>
    </row>
    <row r="414" spans="1:2" x14ac:dyDescent="0.2">
      <c r="A414" s="1" t="s">
        <v>3031</v>
      </c>
      <c r="B414" s="1" t="s">
        <v>3031</v>
      </c>
    </row>
    <row r="415" spans="1:2" x14ac:dyDescent="0.2">
      <c r="A415" s="1" t="s">
        <v>3031</v>
      </c>
      <c r="B415" s="1" t="s">
        <v>3031</v>
      </c>
    </row>
    <row r="416" spans="1:2" x14ac:dyDescent="0.2">
      <c r="A416" s="1" t="s">
        <v>3031</v>
      </c>
      <c r="B416" s="1" t="s">
        <v>3031</v>
      </c>
    </row>
    <row r="417" spans="1:2" x14ac:dyDescent="0.2">
      <c r="A417" s="1" t="s">
        <v>3031</v>
      </c>
      <c r="B417" s="1" t="s">
        <v>3031</v>
      </c>
    </row>
    <row r="418" spans="1:2" x14ac:dyDescent="0.2">
      <c r="A418" s="1" t="s">
        <v>3031</v>
      </c>
      <c r="B418" s="1" t="s">
        <v>3031</v>
      </c>
    </row>
    <row r="419" spans="1:2" x14ac:dyDescent="0.2">
      <c r="A419" s="1" t="s">
        <v>3031</v>
      </c>
      <c r="B419" s="1" t="s">
        <v>3031</v>
      </c>
    </row>
    <row r="420" spans="1:2" x14ac:dyDescent="0.2">
      <c r="A420" s="1" t="s">
        <v>3031</v>
      </c>
      <c r="B420" s="1" t="s">
        <v>3031</v>
      </c>
    </row>
    <row r="421" spans="1:2" x14ac:dyDescent="0.2">
      <c r="A421" s="1" t="s">
        <v>3031</v>
      </c>
      <c r="B421" s="1" t="s">
        <v>3031</v>
      </c>
    </row>
    <row r="422" spans="1:2" x14ac:dyDescent="0.2">
      <c r="A422" s="1" t="s">
        <v>3031</v>
      </c>
      <c r="B422" s="1" t="s">
        <v>3031</v>
      </c>
    </row>
    <row r="423" spans="1:2" x14ac:dyDescent="0.2">
      <c r="A423" s="1" t="s">
        <v>3031</v>
      </c>
      <c r="B423" s="1" t="s">
        <v>3031</v>
      </c>
    </row>
    <row r="424" spans="1:2" x14ac:dyDescent="0.2">
      <c r="A424" s="1" t="s">
        <v>3031</v>
      </c>
      <c r="B424" s="1" t="s">
        <v>3031</v>
      </c>
    </row>
    <row r="425" spans="1:2" x14ac:dyDescent="0.2">
      <c r="A425" s="1" t="s">
        <v>3031</v>
      </c>
      <c r="B425" s="1" t="s">
        <v>3031</v>
      </c>
    </row>
    <row r="426" spans="1:2" x14ac:dyDescent="0.2">
      <c r="A426" s="1" t="s">
        <v>3031</v>
      </c>
      <c r="B426" s="1" t="s">
        <v>3031</v>
      </c>
    </row>
    <row r="427" spans="1:2" x14ac:dyDescent="0.2">
      <c r="A427" s="1" t="s">
        <v>3031</v>
      </c>
      <c r="B427" s="1" t="s">
        <v>3031</v>
      </c>
    </row>
    <row r="428" spans="1:2" x14ac:dyDescent="0.2">
      <c r="A428" s="1" t="s">
        <v>3031</v>
      </c>
      <c r="B428" s="1" t="s">
        <v>3031</v>
      </c>
    </row>
    <row r="429" spans="1:2" x14ac:dyDescent="0.2">
      <c r="A429" s="1" t="s">
        <v>3031</v>
      </c>
      <c r="B429" s="1" t="s">
        <v>3031</v>
      </c>
    </row>
    <row r="430" spans="1:2" x14ac:dyDescent="0.2">
      <c r="A430" s="1" t="s">
        <v>3031</v>
      </c>
      <c r="B430" s="1" t="s">
        <v>3031</v>
      </c>
    </row>
    <row r="431" spans="1:2" x14ac:dyDescent="0.2">
      <c r="A431" s="1" t="s">
        <v>3031</v>
      </c>
      <c r="B431" s="1" t="s">
        <v>3031</v>
      </c>
    </row>
    <row r="432" spans="1:2" x14ac:dyDescent="0.2">
      <c r="A432" s="1" t="s">
        <v>3031</v>
      </c>
      <c r="B432" s="1" t="s">
        <v>3031</v>
      </c>
    </row>
    <row r="433" spans="1:2" x14ac:dyDescent="0.2">
      <c r="A433" s="1" t="s">
        <v>3031</v>
      </c>
      <c r="B433" s="1" t="s">
        <v>3031</v>
      </c>
    </row>
    <row r="434" spans="1:2" x14ac:dyDescent="0.2">
      <c r="A434" s="1" t="s">
        <v>3031</v>
      </c>
      <c r="B434" s="1" t="s">
        <v>3031</v>
      </c>
    </row>
    <row r="435" spans="1:2" x14ac:dyDescent="0.2">
      <c r="A435" s="1" t="s">
        <v>3031</v>
      </c>
      <c r="B435" s="1" t="s">
        <v>3031</v>
      </c>
    </row>
    <row r="436" spans="1:2" x14ac:dyDescent="0.2">
      <c r="A436" s="1" t="s">
        <v>3031</v>
      </c>
      <c r="B436" s="1" t="s">
        <v>3031</v>
      </c>
    </row>
    <row r="437" spans="1:2" x14ac:dyDescent="0.2">
      <c r="A437" s="1" t="s">
        <v>3031</v>
      </c>
      <c r="B437" s="1" t="s">
        <v>3031</v>
      </c>
    </row>
    <row r="438" spans="1:2" x14ac:dyDescent="0.2">
      <c r="A438" s="1" t="s">
        <v>3031</v>
      </c>
      <c r="B438" s="1" t="s">
        <v>3031</v>
      </c>
    </row>
    <row r="439" spans="1:2" x14ac:dyDescent="0.2">
      <c r="A439" s="1" t="s">
        <v>3031</v>
      </c>
      <c r="B439" s="1" t="s">
        <v>3031</v>
      </c>
    </row>
    <row r="440" spans="1:2" x14ac:dyDescent="0.2">
      <c r="A440" s="1" t="s">
        <v>3031</v>
      </c>
      <c r="B440" s="1" t="s">
        <v>3031</v>
      </c>
    </row>
    <row r="441" spans="1:2" x14ac:dyDescent="0.2">
      <c r="A441" s="1" t="s">
        <v>3031</v>
      </c>
      <c r="B441" s="1" t="s">
        <v>3031</v>
      </c>
    </row>
    <row r="442" spans="1:2" x14ac:dyDescent="0.2">
      <c r="A442" s="1" t="s">
        <v>3031</v>
      </c>
      <c r="B442" s="1" t="s">
        <v>3031</v>
      </c>
    </row>
    <row r="443" spans="1:2" x14ac:dyDescent="0.2">
      <c r="A443" s="1" t="s">
        <v>3031</v>
      </c>
      <c r="B443" s="1" t="s">
        <v>3031</v>
      </c>
    </row>
    <row r="444" spans="1:2" x14ac:dyDescent="0.2">
      <c r="A444" s="1" t="s">
        <v>3031</v>
      </c>
      <c r="B444" s="1" t="s">
        <v>3031</v>
      </c>
    </row>
    <row r="445" spans="1:2" x14ac:dyDescent="0.2">
      <c r="A445" s="1" t="s">
        <v>3031</v>
      </c>
      <c r="B445" s="1" t="s">
        <v>3031</v>
      </c>
    </row>
    <row r="446" spans="1:2" x14ac:dyDescent="0.2">
      <c r="A446" s="1" t="s">
        <v>3031</v>
      </c>
      <c r="B446" s="1" t="s">
        <v>3031</v>
      </c>
    </row>
    <row r="447" spans="1:2" x14ac:dyDescent="0.2">
      <c r="A447" s="1" t="s">
        <v>3031</v>
      </c>
      <c r="B447" s="1" t="s">
        <v>3031</v>
      </c>
    </row>
    <row r="448" spans="1:2" x14ac:dyDescent="0.2">
      <c r="A448" s="1" t="s">
        <v>3031</v>
      </c>
      <c r="B448" s="1" t="s">
        <v>3031</v>
      </c>
    </row>
    <row r="449" spans="1:2" x14ac:dyDescent="0.2">
      <c r="A449" s="1" t="s">
        <v>3031</v>
      </c>
      <c r="B449" s="1" t="s">
        <v>3031</v>
      </c>
    </row>
    <row r="450" spans="1:2" x14ac:dyDescent="0.2">
      <c r="A450" s="1" t="s">
        <v>3031</v>
      </c>
      <c r="B450" s="1" t="s">
        <v>3031</v>
      </c>
    </row>
    <row r="451" spans="1:2" x14ac:dyDescent="0.2">
      <c r="A451" s="1" t="s">
        <v>3031</v>
      </c>
      <c r="B451" s="1" t="s">
        <v>3031</v>
      </c>
    </row>
    <row r="452" spans="1:2" x14ac:dyDescent="0.2">
      <c r="A452" s="1" t="s">
        <v>3031</v>
      </c>
      <c r="B452" s="1" t="s">
        <v>3031</v>
      </c>
    </row>
    <row r="453" spans="1:2" x14ac:dyDescent="0.2">
      <c r="A453" s="1" t="s">
        <v>3031</v>
      </c>
      <c r="B453" s="1" t="s">
        <v>3031</v>
      </c>
    </row>
    <row r="454" spans="1:2" x14ac:dyDescent="0.2">
      <c r="A454" s="1" t="s">
        <v>3031</v>
      </c>
      <c r="B454" s="1" t="s">
        <v>3031</v>
      </c>
    </row>
    <row r="455" spans="1:2" x14ac:dyDescent="0.2">
      <c r="A455" s="1" t="s">
        <v>3031</v>
      </c>
      <c r="B455" s="1" t="s">
        <v>3031</v>
      </c>
    </row>
    <row r="456" spans="1:2" x14ac:dyDescent="0.2">
      <c r="A456" s="1" t="s">
        <v>3031</v>
      </c>
      <c r="B456" s="1" t="s">
        <v>3031</v>
      </c>
    </row>
    <row r="457" spans="1:2" x14ac:dyDescent="0.2">
      <c r="A457" s="1" t="s">
        <v>3031</v>
      </c>
      <c r="B457" s="1" t="s">
        <v>3031</v>
      </c>
    </row>
    <row r="458" spans="1:2" x14ac:dyDescent="0.2">
      <c r="A458" s="1" t="s">
        <v>3031</v>
      </c>
      <c r="B458" s="1" t="s">
        <v>3031</v>
      </c>
    </row>
    <row r="459" spans="1:2" x14ac:dyDescent="0.2">
      <c r="A459" s="1" t="s">
        <v>3031</v>
      </c>
      <c r="B459" s="1" t="s">
        <v>3031</v>
      </c>
    </row>
    <row r="460" spans="1:2" x14ac:dyDescent="0.2">
      <c r="A460" s="1" t="s">
        <v>3031</v>
      </c>
      <c r="B460" s="1" t="s">
        <v>3031</v>
      </c>
    </row>
    <row r="461" spans="1:2" x14ac:dyDescent="0.2">
      <c r="A461" s="1" t="s">
        <v>3031</v>
      </c>
      <c r="B461" s="1" t="s">
        <v>3031</v>
      </c>
    </row>
    <row r="462" spans="1:2" x14ac:dyDescent="0.2">
      <c r="A462" s="1" t="s">
        <v>3031</v>
      </c>
      <c r="B462" s="1" t="s">
        <v>3031</v>
      </c>
    </row>
    <row r="463" spans="1:2" x14ac:dyDescent="0.2">
      <c r="A463" s="1" t="s">
        <v>3031</v>
      </c>
      <c r="B463" s="1" t="s">
        <v>3031</v>
      </c>
    </row>
    <row r="464" spans="1:2" x14ac:dyDescent="0.2">
      <c r="A464" s="1" t="s">
        <v>3031</v>
      </c>
      <c r="B464" s="1" t="s">
        <v>3031</v>
      </c>
    </row>
    <row r="465" spans="1:2" x14ac:dyDescent="0.2">
      <c r="A465" s="1" t="s">
        <v>3031</v>
      </c>
      <c r="B465" s="1" t="s">
        <v>3031</v>
      </c>
    </row>
    <row r="466" spans="1:2" x14ac:dyDescent="0.2">
      <c r="A466" s="1" t="s">
        <v>3031</v>
      </c>
      <c r="B466" s="1" t="s">
        <v>3031</v>
      </c>
    </row>
    <row r="467" spans="1:2" x14ac:dyDescent="0.2">
      <c r="A467" s="1" t="s">
        <v>3031</v>
      </c>
      <c r="B467" s="1" t="s">
        <v>3031</v>
      </c>
    </row>
    <row r="468" spans="1:2" x14ac:dyDescent="0.2">
      <c r="A468" s="1" t="s">
        <v>3031</v>
      </c>
      <c r="B468" s="1" t="s">
        <v>3031</v>
      </c>
    </row>
    <row r="469" spans="1:2" x14ac:dyDescent="0.2">
      <c r="A469" s="1" t="s">
        <v>3031</v>
      </c>
      <c r="B469" s="1" t="s">
        <v>3031</v>
      </c>
    </row>
    <row r="470" spans="1:2" x14ac:dyDescent="0.2">
      <c r="A470" s="1" t="s">
        <v>3031</v>
      </c>
      <c r="B470" s="1" t="s">
        <v>3031</v>
      </c>
    </row>
    <row r="471" spans="1:2" x14ac:dyDescent="0.2">
      <c r="A471" s="1" t="s">
        <v>3031</v>
      </c>
      <c r="B471" s="1" t="s">
        <v>3031</v>
      </c>
    </row>
    <row r="472" spans="1:2" x14ac:dyDescent="0.2">
      <c r="A472" s="1" t="s">
        <v>3031</v>
      </c>
      <c r="B472" s="1" t="s">
        <v>3031</v>
      </c>
    </row>
    <row r="473" spans="1:2" x14ac:dyDescent="0.2">
      <c r="A473" s="1" t="s">
        <v>3031</v>
      </c>
      <c r="B473" s="1" t="s">
        <v>3031</v>
      </c>
    </row>
    <row r="474" spans="1:2" x14ac:dyDescent="0.2">
      <c r="A474" s="1" t="s">
        <v>3031</v>
      </c>
      <c r="B474" s="1" t="s">
        <v>3031</v>
      </c>
    </row>
    <row r="475" spans="1:2" x14ac:dyDescent="0.2">
      <c r="A475" s="1" t="s">
        <v>3031</v>
      </c>
      <c r="B475" s="1" t="s">
        <v>3031</v>
      </c>
    </row>
    <row r="476" spans="1:2" x14ac:dyDescent="0.2">
      <c r="A476" s="1" t="s">
        <v>3031</v>
      </c>
      <c r="B476" s="1" t="s">
        <v>3031</v>
      </c>
    </row>
    <row r="477" spans="1:2" x14ac:dyDescent="0.2">
      <c r="A477" s="1" t="s">
        <v>3031</v>
      </c>
      <c r="B477" s="1" t="s">
        <v>3031</v>
      </c>
    </row>
    <row r="478" spans="1:2" x14ac:dyDescent="0.2">
      <c r="A478" s="1" t="s">
        <v>3031</v>
      </c>
      <c r="B478" s="1" t="s">
        <v>3031</v>
      </c>
    </row>
    <row r="479" spans="1:2" x14ac:dyDescent="0.2">
      <c r="A479" s="1" t="s">
        <v>3031</v>
      </c>
      <c r="B479" s="1" t="s">
        <v>3031</v>
      </c>
    </row>
    <row r="480" spans="1:2" x14ac:dyDescent="0.2">
      <c r="A480" s="1" t="s">
        <v>3031</v>
      </c>
      <c r="B480" s="1" t="s">
        <v>3031</v>
      </c>
    </row>
    <row r="481" spans="1:2" x14ac:dyDescent="0.2">
      <c r="A481" s="1" t="s">
        <v>3031</v>
      </c>
      <c r="B481" s="1" t="s">
        <v>3031</v>
      </c>
    </row>
    <row r="482" spans="1:2" x14ac:dyDescent="0.2">
      <c r="A482" s="1" t="s">
        <v>3031</v>
      </c>
      <c r="B482" s="1" t="s">
        <v>3031</v>
      </c>
    </row>
    <row r="483" spans="1:2" x14ac:dyDescent="0.2">
      <c r="A483" s="1" t="s">
        <v>3031</v>
      </c>
      <c r="B483" s="1" t="s">
        <v>3031</v>
      </c>
    </row>
    <row r="484" spans="1:2" x14ac:dyDescent="0.2">
      <c r="A484" s="1" t="s">
        <v>3031</v>
      </c>
      <c r="B484" s="1" t="s">
        <v>3031</v>
      </c>
    </row>
    <row r="485" spans="1:2" x14ac:dyDescent="0.2">
      <c r="A485" s="1" t="s">
        <v>3031</v>
      </c>
      <c r="B485" s="1" t="s">
        <v>3031</v>
      </c>
    </row>
    <row r="486" spans="1:2" x14ac:dyDescent="0.2">
      <c r="A486" s="1" t="s">
        <v>3031</v>
      </c>
      <c r="B486" s="1" t="s">
        <v>3031</v>
      </c>
    </row>
    <row r="487" spans="1:2" x14ac:dyDescent="0.2">
      <c r="A487" s="1" t="s">
        <v>3031</v>
      </c>
      <c r="B487" s="1" t="s">
        <v>3031</v>
      </c>
    </row>
    <row r="488" spans="1:2" x14ac:dyDescent="0.2">
      <c r="A488" s="1" t="s">
        <v>3031</v>
      </c>
      <c r="B488" s="1" t="s">
        <v>3031</v>
      </c>
    </row>
    <row r="489" spans="1:2" x14ac:dyDescent="0.2">
      <c r="A489" s="1" t="s">
        <v>3031</v>
      </c>
      <c r="B489" s="1" t="s">
        <v>3031</v>
      </c>
    </row>
    <row r="490" spans="1:2" x14ac:dyDescent="0.2">
      <c r="A490" s="1" t="s">
        <v>3031</v>
      </c>
      <c r="B490" s="1" t="s">
        <v>3031</v>
      </c>
    </row>
    <row r="491" spans="1:2" x14ac:dyDescent="0.2">
      <c r="A491" s="1" t="s">
        <v>3031</v>
      </c>
      <c r="B491" s="1" t="s">
        <v>3031</v>
      </c>
    </row>
    <row r="492" spans="1:2" x14ac:dyDescent="0.2">
      <c r="A492" s="1" t="s">
        <v>3031</v>
      </c>
      <c r="B492" s="1" t="s">
        <v>3031</v>
      </c>
    </row>
    <row r="493" spans="1:2" x14ac:dyDescent="0.2">
      <c r="A493" s="1" t="s">
        <v>3031</v>
      </c>
      <c r="B493" s="1" t="s">
        <v>3031</v>
      </c>
    </row>
    <row r="494" spans="1:2" x14ac:dyDescent="0.2">
      <c r="A494" s="1" t="s">
        <v>3031</v>
      </c>
      <c r="B494" s="1" t="s">
        <v>3031</v>
      </c>
    </row>
    <row r="495" spans="1:2" x14ac:dyDescent="0.2">
      <c r="A495" s="1" t="s">
        <v>3031</v>
      </c>
      <c r="B495" s="1" t="s">
        <v>3031</v>
      </c>
    </row>
    <row r="496" spans="1:2" x14ac:dyDescent="0.2">
      <c r="A496" s="1" t="s">
        <v>3031</v>
      </c>
      <c r="B496" s="1" t="s">
        <v>3031</v>
      </c>
    </row>
    <row r="497" spans="1:2" x14ac:dyDescent="0.2">
      <c r="A497" s="1" t="s">
        <v>3031</v>
      </c>
      <c r="B497" s="1" t="s">
        <v>3031</v>
      </c>
    </row>
    <row r="498" spans="1:2" x14ac:dyDescent="0.2">
      <c r="A498" s="1" t="s">
        <v>3031</v>
      </c>
      <c r="B498" s="1" t="s">
        <v>3031</v>
      </c>
    </row>
    <row r="499" spans="1:2" x14ac:dyDescent="0.2">
      <c r="A499" s="1" t="s">
        <v>3031</v>
      </c>
      <c r="B499" s="1" t="s">
        <v>3031</v>
      </c>
    </row>
    <row r="500" spans="1:2" x14ac:dyDescent="0.2">
      <c r="A500" s="1" t="s">
        <v>3031</v>
      </c>
      <c r="B500" s="1" t="s">
        <v>3031</v>
      </c>
    </row>
    <row r="501" spans="1:2" x14ac:dyDescent="0.2">
      <c r="A501" s="1" t="s">
        <v>3031</v>
      </c>
      <c r="B501" s="1" t="s">
        <v>3031</v>
      </c>
    </row>
    <row r="502" spans="1:2" x14ac:dyDescent="0.2">
      <c r="A502" s="1" t="s">
        <v>3031</v>
      </c>
      <c r="B502" s="1" t="s">
        <v>3031</v>
      </c>
    </row>
    <row r="503" spans="1:2" x14ac:dyDescent="0.2">
      <c r="A503" s="1" t="s">
        <v>3031</v>
      </c>
      <c r="B503" s="1" t="s">
        <v>3031</v>
      </c>
    </row>
    <row r="504" spans="1:2" x14ac:dyDescent="0.2">
      <c r="A504" s="1" t="s">
        <v>3031</v>
      </c>
      <c r="B504" s="1" t="s">
        <v>3031</v>
      </c>
    </row>
    <row r="505" spans="1:2" x14ac:dyDescent="0.2">
      <c r="A505" s="1" t="s">
        <v>3031</v>
      </c>
      <c r="B505" s="1" t="s">
        <v>3031</v>
      </c>
    </row>
    <row r="506" spans="1:2" x14ac:dyDescent="0.2">
      <c r="A506" s="1" t="s">
        <v>3031</v>
      </c>
      <c r="B506" s="1" t="s">
        <v>3031</v>
      </c>
    </row>
    <row r="507" spans="1:2" x14ac:dyDescent="0.2">
      <c r="A507" s="1" t="s">
        <v>3031</v>
      </c>
      <c r="B507" s="1" t="s">
        <v>3031</v>
      </c>
    </row>
    <row r="508" spans="1:2" x14ac:dyDescent="0.2">
      <c r="A508" s="1" t="s">
        <v>3031</v>
      </c>
      <c r="B508" s="1" t="s">
        <v>3031</v>
      </c>
    </row>
    <row r="509" spans="1:2" x14ac:dyDescent="0.2">
      <c r="A509" s="1" t="s">
        <v>3031</v>
      </c>
      <c r="B509" s="1" t="s">
        <v>3031</v>
      </c>
    </row>
    <row r="510" spans="1:2" x14ac:dyDescent="0.2">
      <c r="A510" s="1" t="s">
        <v>3031</v>
      </c>
      <c r="B510" s="1" t="s">
        <v>3031</v>
      </c>
    </row>
    <row r="511" spans="1:2" x14ac:dyDescent="0.2">
      <c r="A511" s="1" t="s">
        <v>3031</v>
      </c>
      <c r="B511" s="1" t="s">
        <v>3031</v>
      </c>
    </row>
    <row r="512" spans="1:2" x14ac:dyDescent="0.2">
      <c r="A512" s="1" t="s">
        <v>3031</v>
      </c>
      <c r="B512" s="1" t="s">
        <v>3031</v>
      </c>
    </row>
    <row r="513" spans="1:2" x14ac:dyDescent="0.2">
      <c r="A513" s="1" t="s">
        <v>3031</v>
      </c>
      <c r="B513" s="1" t="s">
        <v>3031</v>
      </c>
    </row>
    <row r="514" spans="1:2" x14ac:dyDescent="0.2">
      <c r="A514" s="1" t="s">
        <v>3031</v>
      </c>
      <c r="B514" s="1" t="s">
        <v>3031</v>
      </c>
    </row>
    <row r="515" spans="1:2" x14ac:dyDescent="0.2">
      <c r="A515" s="1" t="s">
        <v>3031</v>
      </c>
      <c r="B515" s="1" t="s">
        <v>3031</v>
      </c>
    </row>
    <row r="516" spans="1:2" x14ac:dyDescent="0.2">
      <c r="A516" s="1" t="s">
        <v>3031</v>
      </c>
      <c r="B516" s="1" t="s">
        <v>3031</v>
      </c>
    </row>
    <row r="517" spans="1:2" x14ac:dyDescent="0.2">
      <c r="A517" s="1" t="s">
        <v>3031</v>
      </c>
      <c r="B517" s="1" t="s">
        <v>3031</v>
      </c>
    </row>
    <row r="518" spans="1:2" x14ac:dyDescent="0.2">
      <c r="A518" s="1" t="s">
        <v>3031</v>
      </c>
      <c r="B518" s="1" t="s">
        <v>3031</v>
      </c>
    </row>
    <row r="519" spans="1:2" x14ac:dyDescent="0.2">
      <c r="A519" s="1" t="s">
        <v>3031</v>
      </c>
      <c r="B519" s="1" t="s">
        <v>3031</v>
      </c>
    </row>
    <row r="520" spans="1:2" x14ac:dyDescent="0.2">
      <c r="A520" s="1" t="s">
        <v>3031</v>
      </c>
      <c r="B520" s="1" t="s">
        <v>3031</v>
      </c>
    </row>
    <row r="521" spans="1:2" x14ac:dyDescent="0.2">
      <c r="A521" s="1" t="s">
        <v>3031</v>
      </c>
      <c r="B521" s="1" t="s">
        <v>3031</v>
      </c>
    </row>
    <row r="522" spans="1:2" x14ac:dyDescent="0.2">
      <c r="A522" s="1" t="s">
        <v>3031</v>
      </c>
      <c r="B522" s="1" t="s">
        <v>3031</v>
      </c>
    </row>
    <row r="523" spans="1:2" x14ac:dyDescent="0.2">
      <c r="A523" s="1" t="s">
        <v>3031</v>
      </c>
      <c r="B523" s="1" t="s">
        <v>3031</v>
      </c>
    </row>
    <row r="524" spans="1:2" x14ac:dyDescent="0.2">
      <c r="A524" s="1" t="s">
        <v>3031</v>
      </c>
      <c r="B524" s="1" t="s">
        <v>3031</v>
      </c>
    </row>
    <row r="525" spans="1:2" x14ac:dyDescent="0.2">
      <c r="A525" s="1" t="s">
        <v>3031</v>
      </c>
      <c r="B525" s="1" t="s">
        <v>3031</v>
      </c>
    </row>
    <row r="526" spans="1:2" x14ac:dyDescent="0.2">
      <c r="A526" s="1" t="s">
        <v>3031</v>
      </c>
      <c r="B526" s="1" t="s">
        <v>3031</v>
      </c>
    </row>
    <row r="527" spans="1:2" x14ac:dyDescent="0.2">
      <c r="A527" s="1" t="s">
        <v>3031</v>
      </c>
      <c r="B527" s="1" t="s">
        <v>3031</v>
      </c>
    </row>
    <row r="528" spans="1:2" x14ac:dyDescent="0.2">
      <c r="A528" s="1" t="s">
        <v>3031</v>
      </c>
      <c r="B528" s="1" t="s">
        <v>3031</v>
      </c>
    </row>
    <row r="529" spans="1:2" x14ac:dyDescent="0.2">
      <c r="A529" s="1" t="s">
        <v>3031</v>
      </c>
      <c r="B529" s="1" t="s">
        <v>3031</v>
      </c>
    </row>
    <row r="530" spans="1:2" x14ac:dyDescent="0.2">
      <c r="A530" s="1" t="s">
        <v>3031</v>
      </c>
      <c r="B530" s="1" t="s">
        <v>3031</v>
      </c>
    </row>
    <row r="531" spans="1:2" x14ac:dyDescent="0.2">
      <c r="A531" s="1" t="s">
        <v>3031</v>
      </c>
      <c r="B531" s="1" t="s">
        <v>3031</v>
      </c>
    </row>
    <row r="532" spans="1:2" x14ac:dyDescent="0.2">
      <c r="A532" s="1" t="s">
        <v>3031</v>
      </c>
      <c r="B532" s="1" t="s">
        <v>3031</v>
      </c>
    </row>
    <row r="533" spans="1:2" x14ac:dyDescent="0.2">
      <c r="A533" s="1" t="s">
        <v>3031</v>
      </c>
      <c r="B533" s="1" t="s">
        <v>3031</v>
      </c>
    </row>
    <row r="534" spans="1:2" x14ac:dyDescent="0.2">
      <c r="A534" s="1" t="s">
        <v>3031</v>
      </c>
      <c r="B534" s="1" t="s">
        <v>3031</v>
      </c>
    </row>
    <row r="535" spans="1:2" x14ac:dyDescent="0.2">
      <c r="A535" s="1" t="s">
        <v>3031</v>
      </c>
      <c r="B535" s="1" t="s">
        <v>3031</v>
      </c>
    </row>
    <row r="536" spans="1:2" x14ac:dyDescent="0.2">
      <c r="A536" s="1" t="s">
        <v>3031</v>
      </c>
      <c r="B536" s="1" t="s">
        <v>3031</v>
      </c>
    </row>
    <row r="537" spans="1:2" x14ac:dyDescent="0.2">
      <c r="A537" s="1" t="s">
        <v>3031</v>
      </c>
      <c r="B537" s="1" t="s">
        <v>3031</v>
      </c>
    </row>
    <row r="538" spans="1:2" x14ac:dyDescent="0.2">
      <c r="A538" s="1" t="s">
        <v>3031</v>
      </c>
      <c r="B538" s="1" t="s">
        <v>3031</v>
      </c>
    </row>
    <row r="539" spans="1:2" x14ac:dyDescent="0.2">
      <c r="A539" s="1" t="s">
        <v>3031</v>
      </c>
      <c r="B539" s="1" t="s">
        <v>3031</v>
      </c>
    </row>
    <row r="540" spans="1:2" x14ac:dyDescent="0.2">
      <c r="A540" s="1" t="s">
        <v>3031</v>
      </c>
      <c r="B540" s="1" t="s">
        <v>3031</v>
      </c>
    </row>
    <row r="541" spans="1:2" x14ac:dyDescent="0.2">
      <c r="A541" s="1" t="s">
        <v>3031</v>
      </c>
      <c r="B541" s="1" t="s">
        <v>3031</v>
      </c>
    </row>
    <row r="542" spans="1:2" x14ac:dyDescent="0.2">
      <c r="A542" s="1" t="s">
        <v>3031</v>
      </c>
      <c r="B542" s="1" t="s">
        <v>3031</v>
      </c>
    </row>
    <row r="543" spans="1:2" x14ac:dyDescent="0.2">
      <c r="A543" s="1" t="s">
        <v>3031</v>
      </c>
      <c r="B543" s="1" t="s">
        <v>3031</v>
      </c>
    </row>
    <row r="544" spans="1:2" x14ac:dyDescent="0.2">
      <c r="A544" s="1" t="s">
        <v>3031</v>
      </c>
      <c r="B544" s="1" t="s">
        <v>3031</v>
      </c>
    </row>
    <row r="545" spans="1:2" x14ac:dyDescent="0.2">
      <c r="A545" s="1" t="s">
        <v>3031</v>
      </c>
      <c r="B545" s="1" t="s">
        <v>3031</v>
      </c>
    </row>
    <row r="546" spans="1:2" x14ac:dyDescent="0.2">
      <c r="A546" s="1" t="s">
        <v>3031</v>
      </c>
      <c r="B546" s="1" t="s">
        <v>3031</v>
      </c>
    </row>
    <row r="547" spans="1:2" x14ac:dyDescent="0.2">
      <c r="A547" s="1" t="s">
        <v>3031</v>
      </c>
      <c r="B547" s="1" t="s">
        <v>3031</v>
      </c>
    </row>
    <row r="548" spans="1:2" x14ac:dyDescent="0.2">
      <c r="A548" s="1" t="s">
        <v>3031</v>
      </c>
      <c r="B548" s="1" t="s">
        <v>3031</v>
      </c>
    </row>
    <row r="549" spans="1:2" x14ac:dyDescent="0.2">
      <c r="A549" s="1" t="s">
        <v>3031</v>
      </c>
      <c r="B549" s="1" t="s">
        <v>3031</v>
      </c>
    </row>
    <row r="550" spans="1:2" x14ac:dyDescent="0.2">
      <c r="A550" s="1" t="s">
        <v>3031</v>
      </c>
      <c r="B550" s="1" t="s">
        <v>3031</v>
      </c>
    </row>
    <row r="551" spans="1:2" x14ac:dyDescent="0.2">
      <c r="A551" s="1" t="s">
        <v>3031</v>
      </c>
      <c r="B551" s="1" t="s">
        <v>3031</v>
      </c>
    </row>
    <row r="552" spans="1:2" x14ac:dyDescent="0.2">
      <c r="A552" s="1" t="s">
        <v>3031</v>
      </c>
      <c r="B552" s="1" t="s">
        <v>3031</v>
      </c>
    </row>
    <row r="553" spans="1:2" x14ac:dyDescent="0.2">
      <c r="A553" s="1" t="s">
        <v>3031</v>
      </c>
      <c r="B553" s="1" t="s">
        <v>3031</v>
      </c>
    </row>
    <row r="554" spans="1:2" x14ac:dyDescent="0.2">
      <c r="A554" s="1" t="s">
        <v>3031</v>
      </c>
      <c r="B554" s="1" t="s">
        <v>3031</v>
      </c>
    </row>
    <row r="555" spans="1:2" x14ac:dyDescent="0.2">
      <c r="A555" s="1" t="s">
        <v>3031</v>
      </c>
      <c r="B555" s="1" t="s">
        <v>3031</v>
      </c>
    </row>
    <row r="556" spans="1:2" x14ac:dyDescent="0.2">
      <c r="A556" s="1" t="s">
        <v>3031</v>
      </c>
      <c r="B556" s="1" t="s">
        <v>3031</v>
      </c>
    </row>
    <row r="557" spans="1:2" x14ac:dyDescent="0.2">
      <c r="A557" s="1" t="s">
        <v>3031</v>
      </c>
      <c r="B557" s="1" t="s">
        <v>3031</v>
      </c>
    </row>
    <row r="558" spans="1:2" x14ac:dyDescent="0.2">
      <c r="A558" s="1" t="s">
        <v>3031</v>
      </c>
      <c r="B558" s="1" t="s">
        <v>3031</v>
      </c>
    </row>
    <row r="559" spans="1:2" x14ac:dyDescent="0.2">
      <c r="A559" s="1" t="s">
        <v>3031</v>
      </c>
      <c r="B559" s="1" t="s">
        <v>3031</v>
      </c>
    </row>
    <row r="560" spans="1:2" x14ac:dyDescent="0.2">
      <c r="A560" s="1" t="s">
        <v>3031</v>
      </c>
      <c r="B560" s="1" t="s">
        <v>3031</v>
      </c>
    </row>
    <row r="561" spans="1:2" x14ac:dyDescent="0.2">
      <c r="A561" s="1" t="s">
        <v>3031</v>
      </c>
      <c r="B561" s="1" t="s">
        <v>3031</v>
      </c>
    </row>
    <row r="562" spans="1:2" x14ac:dyDescent="0.2">
      <c r="A562" s="1" t="s">
        <v>3031</v>
      </c>
      <c r="B562" s="1" t="s">
        <v>3031</v>
      </c>
    </row>
    <row r="563" spans="1:2" x14ac:dyDescent="0.2">
      <c r="A563" s="1" t="s">
        <v>3031</v>
      </c>
      <c r="B563" s="1" t="s">
        <v>3031</v>
      </c>
    </row>
    <row r="564" spans="1:2" x14ac:dyDescent="0.2">
      <c r="A564" s="1" t="s">
        <v>3031</v>
      </c>
      <c r="B564" s="1" t="s">
        <v>3031</v>
      </c>
    </row>
    <row r="565" spans="1:2" x14ac:dyDescent="0.2">
      <c r="A565" s="1" t="s">
        <v>3031</v>
      </c>
      <c r="B565" s="1" t="s">
        <v>3031</v>
      </c>
    </row>
    <row r="566" spans="1:2" x14ac:dyDescent="0.2">
      <c r="A566" s="1" t="s">
        <v>3031</v>
      </c>
      <c r="B566" s="1" t="s">
        <v>3031</v>
      </c>
    </row>
    <row r="567" spans="1:2" x14ac:dyDescent="0.2">
      <c r="A567" s="1" t="s">
        <v>3031</v>
      </c>
      <c r="B567" s="1" t="s">
        <v>3031</v>
      </c>
    </row>
    <row r="568" spans="1:2" x14ac:dyDescent="0.2">
      <c r="A568" s="1" t="s">
        <v>3031</v>
      </c>
      <c r="B568" s="1" t="s">
        <v>3031</v>
      </c>
    </row>
    <row r="569" spans="1:2" x14ac:dyDescent="0.2">
      <c r="A569" s="1" t="s">
        <v>3031</v>
      </c>
      <c r="B569" s="1" t="s">
        <v>3031</v>
      </c>
    </row>
    <row r="570" spans="1:2" x14ac:dyDescent="0.2">
      <c r="A570" s="1" t="s">
        <v>3031</v>
      </c>
      <c r="B570" s="1" t="s">
        <v>3031</v>
      </c>
    </row>
    <row r="571" spans="1:2" x14ac:dyDescent="0.2">
      <c r="A571" s="1" t="s">
        <v>3031</v>
      </c>
      <c r="B571" s="1" t="s">
        <v>3031</v>
      </c>
    </row>
    <row r="572" spans="1:2" x14ac:dyDescent="0.2">
      <c r="A572" s="1" t="s">
        <v>3031</v>
      </c>
      <c r="B572" s="1" t="s">
        <v>3031</v>
      </c>
    </row>
    <row r="573" spans="1:2" x14ac:dyDescent="0.2">
      <c r="A573" s="1" t="s">
        <v>3031</v>
      </c>
      <c r="B573" s="1" t="s">
        <v>3031</v>
      </c>
    </row>
    <row r="574" spans="1:2" x14ac:dyDescent="0.2">
      <c r="A574" s="1" t="s">
        <v>3031</v>
      </c>
      <c r="B574" s="1" t="s">
        <v>3031</v>
      </c>
    </row>
    <row r="575" spans="1:2" x14ac:dyDescent="0.2">
      <c r="A575" s="1" t="s">
        <v>3031</v>
      </c>
      <c r="B575" s="1" t="s">
        <v>3031</v>
      </c>
    </row>
    <row r="576" spans="1:2" x14ac:dyDescent="0.2">
      <c r="A576" s="1" t="s">
        <v>3031</v>
      </c>
      <c r="B576" s="1" t="s">
        <v>3031</v>
      </c>
    </row>
    <row r="577" spans="1:2" x14ac:dyDescent="0.2">
      <c r="A577" s="1" t="s">
        <v>3031</v>
      </c>
      <c r="B577" s="1" t="s">
        <v>3031</v>
      </c>
    </row>
    <row r="578" spans="1:2" x14ac:dyDescent="0.2">
      <c r="A578" s="1" t="s">
        <v>3031</v>
      </c>
      <c r="B578" s="1" t="s">
        <v>3031</v>
      </c>
    </row>
    <row r="579" spans="1:2" x14ac:dyDescent="0.2">
      <c r="A579" s="1" t="s">
        <v>3031</v>
      </c>
      <c r="B579" s="1" t="s">
        <v>3031</v>
      </c>
    </row>
    <row r="580" spans="1:2" x14ac:dyDescent="0.2">
      <c r="A580" s="1" t="s">
        <v>3031</v>
      </c>
      <c r="B580" s="1" t="s">
        <v>3031</v>
      </c>
    </row>
    <row r="581" spans="1:2" x14ac:dyDescent="0.2">
      <c r="A581" s="1" t="s">
        <v>3031</v>
      </c>
      <c r="B581" s="1" t="s">
        <v>3031</v>
      </c>
    </row>
    <row r="582" spans="1:2" x14ac:dyDescent="0.2">
      <c r="A582" s="1" t="s">
        <v>3031</v>
      </c>
      <c r="B582" s="1" t="s">
        <v>3031</v>
      </c>
    </row>
    <row r="583" spans="1:2" x14ac:dyDescent="0.2">
      <c r="A583" s="1" t="s">
        <v>3031</v>
      </c>
      <c r="B583" s="1" t="s">
        <v>3031</v>
      </c>
    </row>
    <row r="584" spans="1:2" x14ac:dyDescent="0.2">
      <c r="A584" s="1" t="s">
        <v>3031</v>
      </c>
      <c r="B584" s="1" t="s">
        <v>3031</v>
      </c>
    </row>
    <row r="585" spans="1:2" x14ac:dyDescent="0.2">
      <c r="A585" s="1" t="s">
        <v>3031</v>
      </c>
      <c r="B585" s="1" t="s">
        <v>3031</v>
      </c>
    </row>
    <row r="586" spans="1:2" x14ac:dyDescent="0.2">
      <c r="A586" s="1" t="s">
        <v>3031</v>
      </c>
      <c r="B586" s="1" t="s">
        <v>3031</v>
      </c>
    </row>
    <row r="587" spans="1:2" x14ac:dyDescent="0.2">
      <c r="A587" s="1" t="s">
        <v>3031</v>
      </c>
      <c r="B587" s="1" t="s">
        <v>3031</v>
      </c>
    </row>
    <row r="588" spans="1:2" x14ac:dyDescent="0.2">
      <c r="A588" s="1" t="s">
        <v>3031</v>
      </c>
      <c r="B588" s="1" t="s">
        <v>3031</v>
      </c>
    </row>
    <row r="589" spans="1:2" x14ac:dyDescent="0.2">
      <c r="A589" s="1" t="s">
        <v>3031</v>
      </c>
      <c r="B589" s="1" t="s">
        <v>3031</v>
      </c>
    </row>
    <row r="590" spans="1:2" x14ac:dyDescent="0.2">
      <c r="A590" s="1" t="s">
        <v>3031</v>
      </c>
      <c r="B590" s="1" t="s">
        <v>3031</v>
      </c>
    </row>
    <row r="591" spans="1:2" x14ac:dyDescent="0.2">
      <c r="A591" s="1" t="s">
        <v>3031</v>
      </c>
      <c r="B591" s="1" t="s">
        <v>3031</v>
      </c>
    </row>
    <row r="592" spans="1:2" x14ac:dyDescent="0.2">
      <c r="A592" s="1" t="s">
        <v>3031</v>
      </c>
      <c r="B592" s="1" t="s">
        <v>3031</v>
      </c>
    </row>
    <row r="593" spans="1:2" x14ac:dyDescent="0.2">
      <c r="A593" s="1" t="s">
        <v>3031</v>
      </c>
      <c r="B593" s="1" t="s">
        <v>3031</v>
      </c>
    </row>
    <row r="594" spans="1:2" x14ac:dyDescent="0.2">
      <c r="A594" s="1" t="s">
        <v>3031</v>
      </c>
      <c r="B594" s="1" t="s">
        <v>3031</v>
      </c>
    </row>
    <row r="595" spans="1:2" x14ac:dyDescent="0.2">
      <c r="A595" s="1" t="s">
        <v>3031</v>
      </c>
      <c r="B595" s="1" t="s">
        <v>3031</v>
      </c>
    </row>
    <row r="596" spans="1:2" x14ac:dyDescent="0.2">
      <c r="A596" s="1" t="s">
        <v>3031</v>
      </c>
      <c r="B596" s="1" t="s">
        <v>3031</v>
      </c>
    </row>
    <row r="597" spans="1:2" x14ac:dyDescent="0.2">
      <c r="A597" s="1" t="s">
        <v>3031</v>
      </c>
      <c r="B597" s="1" t="s">
        <v>3031</v>
      </c>
    </row>
    <row r="598" spans="1:2" x14ac:dyDescent="0.2">
      <c r="A598" s="1" t="s">
        <v>3031</v>
      </c>
      <c r="B598" s="1" t="s">
        <v>3031</v>
      </c>
    </row>
    <row r="599" spans="1:2" x14ac:dyDescent="0.2">
      <c r="A599" s="1" t="s">
        <v>3031</v>
      </c>
      <c r="B599" s="1" t="s">
        <v>3031</v>
      </c>
    </row>
    <row r="600" spans="1:2" x14ac:dyDescent="0.2">
      <c r="A600" s="1" t="s">
        <v>3031</v>
      </c>
      <c r="B600" s="1" t="s">
        <v>3031</v>
      </c>
    </row>
    <row r="601" spans="1:2" x14ac:dyDescent="0.2">
      <c r="A601" s="1" t="s">
        <v>3031</v>
      </c>
      <c r="B601" s="1" t="s">
        <v>3031</v>
      </c>
    </row>
    <row r="602" spans="1:2" x14ac:dyDescent="0.2">
      <c r="A602" s="1" t="s">
        <v>3031</v>
      </c>
      <c r="B602" s="1" t="s">
        <v>3031</v>
      </c>
    </row>
    <row r="603" spans="1:2" x14ac:dyDescent="0.2">
      <c r="A603" s="1" t="s">
        <v>3031</v>
      </c>
      <c r="B603" s="1" t="s">
        <v>3031</v>
      </c>
    </row>
    <row r="604" spans="1:2" x14ac:dyDescent="0.2">
      <c r="A604" s="1" t="s">
        <v>3031</v>
      </c>
      <c r="B604" s="1" t="s">
        <v>3031</v>
      </c>
    </row>
    <row r="605" spans="1:2" x14ac:dyDescent="0.2">
      <c r="A605" s="1" t="s">
        <v>3031</v>
      </c>
      <c r="B605" s="1" t="s">
        <v>3031</v>
      </c>
    </row>
    <row r="606" spans="1:2" x14ac:dyDescent="0.2">
      <c r="A606" s="1" t="s">
        <v>3031</v>
      </c>
      <c r="B606" s="1" t="s">
        <v>3031</v>
      </c>
    </row>
    <row r="607" spans="1:2" x14ac:dyDescent="0.2">
      <c r="A607" s="1" t="s">
        <v>3031</v>
      </c>
      <c r="B607" s="1" t="s">
        <v>3031</v>
      </c>
    </row>
    <row r="608" spans="1:2" x14ac:dyDescent="0.2">
      <c r="A608" s="1" t="s">
        <v>3031</v>
      </c>
      <c r="B608" s="1" t="s">
        <v>3031</v>
      </c>
    </row>
    <row r="609" spans="1:2" x14ac:dyDescent="0.2">
      <c r="A609" s="1" t="s">
        <v>3031</v>
      </c>
      <c r="B609" s="1" t="s">
        <v>3031</v>
      </c>
    </row>
    <row r="610" spans="1:2" x14ac:dyDescent="0.2">
      <c r="A610" s="1" t="s">
        <v>3031</v>
      </c>
      <c r="B610" s="1" t="s">
        <v>3031</v>
      </c>
    </row>
    <row r="611" spans="1:2" x14ac:dyDescent="0.2">
      <c r="A611" s="1" t="s">
        <v>3031</v>
      </c>
      <c r="B611" s="1" t="s">
        <v>3031</v>
      </c>
    </row>
    <row r="612" spans="1:2" x14ac:dyDescent="0.2">
      <c r="A612" s="1" t="s">
        <v>3031</v>
      </c>
      <c r="B612" s="1" t="s">
        <v>3031</v>
      </c>
    </row>
    <row r="613" spans="1:2" x14ac:dyDescent="0.2">
      <c r="A613" s="1" t="s">
        <v>3031</v>
      </c>
      <c r="B613" s="1" t="s">
        <v>3031</v>
      </c>
    </row>
    <row r="614" spans="1:2" x14ac:dyDescent="0.2">
      <c r="A614" s="1" t="s">
        <v>3031</v>
      </c>
      <c r="B614" s="1" t="s">
        <v>3031</v>
      </c>
    </row>
    <row r="615" spans="1:2" x14ac:dyDescent="0.2">
      <c r="A615" s="1" t="s">
        <v>3031</v>
      </c>
      <c r="B615" s="1" t="s">
        <v>3031</v>
      </c>
    </row>
    <row r="616" spans="1:2" x14ac:dyDescent="0.2">
      <c r="A616" s="1" t="s">
        <v>3031</v>
      </c>
      <c r="B616" s="1" t="s">
        <v>3031</v>
      </c>
    </row>
    <row r="617" spans="1:2" x14ac:dyDescent="0.2">
      <c r="A617" s="1" t="s">
        <v>3031</v>
      </c>
      <c r="B617" s="1" t="s">
        <v>3031</v>
      </c>
    </row>
    <row r="618" spans="1:2" x14ac:dyDescent="0.2">
      <c r="A618" s="1" t="s">
        <v>3031</v>
      </c>
      <c r="B618" s="1" t="s">
        <v>3031</v>
      </c>
    </row>
    <row r="619" spans="1:2" x14ac:dyDescent="0.2">
      <c r="A619" s="1" t="s">
        <v>3031</v>
      </c>
      <c r="B619" s="1" t="s">
        <v>3031</v>
      </c>
    </row>
    <row r="620" spans="1:2" x14ac:dyDescent="0.2">
      <c r="A620" s="1" t="s">
        <v>3031</v>
      </c>
      <c r="B620" s="1" t="s">
        <v>3031</v>
      </c>
    </row>
    <row r="621" spans="1:2" x14ac:dyDescent="0.2">
      <c r="A621" s="1" t="s">
        <v>3031</v>
      </c>
      <c r="B621" s="1" t="s">
        <v>3031</v>
      </c>
    </row>
    <row r="622" spans="1:2" x14ac:dyDescent="0.2">
      <c r="A622" s="1" t="s">
        <v>3031</v>
      </c>
      <c r="B622" s="1" t="s">
        <v>3031</v>
      </c>
    </row>
    <row r="623" spans="1:2" x14ac:dyDescent="0.2">
      <c r="A623" s="1" t="s">
        <v>3031</v>
      </c>
      <c r="B623" s="1" t="s">
        <v>3031</v>
      </c>
    </row>
    <row r="624" spans="1:2" x14ac:dyDescent="0.2">
      <c r="A624" s="1" t="s">
        <v>3031</v>
      </c>
      <c r="B624" s="1" t="s">
        <v>3031</v>
      </c>
    </row>
    <row r="625" spans="1:2" x14ac:dyDescent="0.2">
      <c r="A625" s="1" t="s">
        <v>3031</v>
      </c>
      <c r="B625" s="1" t="s">
        <v>3031</v>
      </c>
    </row>
    <row r="626" spans="1:2" x14ac:dyDescent="0.2">
      <c r="A626" s="1" t="s">
        <v>3031</v>
      </c>
      <c r="B626" s="1" t="s">
        <v>3031</v>
      </c>
    </row>
    <row r="627" spans="1:2" x14ac:dyDescent="0.2">
      <c r="A627" s="1" t="s">
        <v>3031</v>
      </c>
      <c r="B627" s="1" t="s">
        <v>3031</v>
      </c>
    </row>
    <row r="628" spans="1:2" x14ac:dyDescent="0.2">
      <c r="A628" s="1" t="s">
        <v>3031</v>
      </c>
      <c r="B628" s="1" t="s">
        <v>3031</v>
      </c>
    </row>
    <row r="629" spans="1:2" x14ac:dyDescent="0.2">
      <c r="A629" s="1" t="s">
        <v>3031</v>
      </c>
      <c r="B629" s="1" t="s">
        <v>3031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28407</TotalTime>
  <Application>Microsoft Excel</Application>
  <DocSecurity>0</DocSecurity>
  <ScaleCrop>false</ScaleCrop>
  <HeadingPairs>
    <vt:vector size="2" baseType="variant">
      <vt:variant>
        <vt:lpstr>Листы</vt:lpstr>
      </vt:variant>
      <vt:variant>
        <vt:i4>5</vt:i4>
      </vt:variant>
    </vt:vector>
  </HeadingPairs>
  <TitlesOfParts>
    <vt:vector size="5" baseType="lpstr">
      <vt:lpstr>Лист1</vt:lpstr>
      <vt:lpstr>номер</vt:lpstr>
      <vt:lpstr>Sheet2</vt:lpstr>
      <vt:lpstr>username</vt:lpstr>
      <vt:lpstr>username2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Uzkikh</dc:creator>
  <dc:description/>
  <cp:lastModifiedBy>Max Uzkikh</cp:lastModifiedBy>
  <cp:revision>469</cp:revision>
  <dcterms:created xsi:type="dcterms:W3CDTF">2025-01-05T06:14:55Z</dcterms:created>
  <dcterms:modified xsi:type="dcterms:W3CDTF">2026-10-12T09:16:27Z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