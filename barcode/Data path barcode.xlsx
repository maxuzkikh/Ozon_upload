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41D75B16-4168-47FD-8277-98076827BBC7}"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123" i="1" l="1"/>
  <c r="D698" i="1"/>
  <c r="D681" i="1"/>
  <c r="D674" i="1"/>
  <c r="D690" i="1"/>
  <c r="D689" i="1"/>
  <c r="D688" i="1"/>
  <c r="D687" i="1"/>
  <c r="D686" i="1"/>
  <c r="D685" i="1"/>
  <c r="D684" i="1"/>
  <c r="D683" i="1"/>
  <c r="D682" i="1"/>
  <c r="D680" i="1"/>
  <c r="D679" i="1"/>
  <c r="D678" i="1"/>
  <c r="D677" i="1"/>
  <c r="D676" i="1"/>
  <c r="D675"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<sst xmlns="http://schemas.openxmlformats.org/spreadsheetml/2006/main" count="8288" uniqueCount="3193">
  <si>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</si>
  <si>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</si>
  <si>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</si>
  <si>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</si>
  <si>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</si>
  <si>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</si>
  <si>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</si>
  <si>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</si>
  <si>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</si>
  <si>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</si>
  <si>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</si>
  <si>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</si>
  <si>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</si>
  <si>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</si>
  <si>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</si>
  <si>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</si>
  <si>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</si>
  <si>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</si>
  <si>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</si>
  <si>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</si>
  <si>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</si>
  <si>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</si>
  <si>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</si>
  <si>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</si>
  <si>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</si>
  <si>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</si>
  <si>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</si>
  <si>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</si>
  <si>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</si>
  <si>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</si>
  <si>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</si>
  <si>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</si>
  <si>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</si>
  <si>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</si>
  <si>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</si>
  <si>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</si>
  <si>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</si>
  <si>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</si>
  <si>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</si>
  <si>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</si>
  <si>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</si>
  <si>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</si>
  <si>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</si>
  <si>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</si>
  <si>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</si>
  <si>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</si>
  <si>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</si>
  <si>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</si>
  <si>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</si>
  <si>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</si>
  <si>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</si>
  <si>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</si>
  <si>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</si>
  <si>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</si>
  <si>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</si>
  <si>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</si>
  <si>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</si>
  <si>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</si>
  <si>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</si>
  <si>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</si>
  <si>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</si>
  <si>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</si>
  <si>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</si>
  <si>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</si>
  <si>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</si>
  <si>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</si>
  <si>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</si>
  <si>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</si>
  <si>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</si>
  <si>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</si>
  <si>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</si>
  <si>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</si>
  <si>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</si>
  <si>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</si>
  <si>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</si>
  <si>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</si>
  <si>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</si>
  <si>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</si>
  <si>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</si>
  <si>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</si>
  <si>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</si>
  <si>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</si>
  <si>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</si>
  <si>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</si>
  <si>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</si>
  <si>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</si>
  <si>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</si>
  <si>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</si>
  <si>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</si>
  <si>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</si>
  <si>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</si>
  <si>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</si>
  <si>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</si>
  <si>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</si>
  <si>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</si>
  <si>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</si>
  <si>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</si>
  <si>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</si>
  <si>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</si>
  <si>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</si>
  <si>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</si>
  <si>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</si>
  <si>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</si>
  <si>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</si>
  <si>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</si>
  <si>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</si>
  <si>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</si>
  <si>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</si>
  <si>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</si>
  <si>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</si>
  <si>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</si>
  <si>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</si>
  <si>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</si>
  <si>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</si>
  <si>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</si>
  <si>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</si>
  <si>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</si>
  <si>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</si>
  <si>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</si>
  <si>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</si>
  <si>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</si>
  <si>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</si>
  <si>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</si>
  <si>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</si>
  <si>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</si>
  <si>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</si>
  <si>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</si>
  <si>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</si>
  <si>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</si>
  <si>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</si>
  <si>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</si>
  <si>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</si>
  <si>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</si>
  <si>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</si>
  <si>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</si>
  <si>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</si>
  <si>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</si>
  <si>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</si>
  <si>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</si>
  <si>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</si>
  <si>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</si>
  <si>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</si>
  <si>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</si>
  <si>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</si>
  <si>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</si>
  <si>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</si>
  <si>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</si>
  <si>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</si>
  <si>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</si>
  <si>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</si>
  <si>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</si>
  <si>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</si>
  <si>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</si>
  <si>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</si>
  <si>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</si>
  <si>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</si>
  <si>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</si>
  <si>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</si>
  <si>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</si>
  <si>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</si>
  <si>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</si>
  <si>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</si>
  <si>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</si>
  <si>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</si>
  <si>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</si>
  <si>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</si>
  <si>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</si>
  <si>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</si>
  <si>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</si>
  <si>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</si>
  <si>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</si>
  <si>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</si>
  <si>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</si>
  <si>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</si>
  <si>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</si>
  <si>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</si>
  <si>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</si>
  <si>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</si>
  <si>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</si>
  <si>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</si>
  <si>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</si>
  <si>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</si>
  <si>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</si>
  <si>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</si>
  <si>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</si>
  <si>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</si>
  <si>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</si>
  <si>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</si>
  <si>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</si>
  <si>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</si>
  <si>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</si>
  <si>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</si>
  <si>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</si>
  <si>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</si>
  <si>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</si>
  <si>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</si>
  <si>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</si>
  <si>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</si>
  <si>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</si>
  <si>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</si>
  <si>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</si>
  <si>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</si>
  <si>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</si>
  <si>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</si>
  <si>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</si>
  <si>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</si>
  <si>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</si>
  <si>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</si>
  <si>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</si>
  <si>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</si>
  <si>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</si>
  <si>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</si>
  <si>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</si>
  <si>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</si>
  <si>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</si>
  <si>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</si>
  <si>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</si>
  <si>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</si>
  <si>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</si>
  <si>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</si>
  <si>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</si>
  <si>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</si>
  <si>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</si>
  <si>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</si>
  <si>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</si>
  <si>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</si>
  <si>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</si>
  <si>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</si>
  <si>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</si>
  <si>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</si>
  <si>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</si>
  <si>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</si>
  <si>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</si>
  <si>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</si>
  <si>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</si>
  <si>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</si>
  <si>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</si>
  <si>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</si>
  <si>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</si>
  <si>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</si>
  <si>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</si>
  <si>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</si>
  <si>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</si>
  <si>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</si>
  <si>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</si>
  <si>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</si>
  <si>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</si>
  <si>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</si>
  <si>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</si>
  <si>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</si>
  <si>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</si>
  <si>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</si>
  <si>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</si>
  <si>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</si>
  <si>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</si>
  <si>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</si>
  <si>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</si>
  <si>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</si>
  <si>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</si>
  <si>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</si>
  <si>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</si>
  <si>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</si>
  <si>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</si>
  <si>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</si>
  <si>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</si>
  <si>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</si>
  <si>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</si>
  <si>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</si>
  <si>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</si>
  <si>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</si>
  <si>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</si>
  <si>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</si>
  <si>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</si>
  <si>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</si>
  <si>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</si>
  <si>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</si>
  <si>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</si>
  <si>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</si>
  <si>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</si>
  <si>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</si>
  <si>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</si>
  <si>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</si>
  <si>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</si>
  <si>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</si>
  <si>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</si>
  <si>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</si>
  <si>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</si>
  <si>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</si>
  <si>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</si>
  <si>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</si>
  <si>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</si>
  <si>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</si>
  <si>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</si>
  <si>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</si>
  <si>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</si>
  <si>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</si>
  <si>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</si>
  <si>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</si>
  <si>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</si>
  <si>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</si>
  <si>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</si>
  <si>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</si>
  <si>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</si>
  <si>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</si>
  <si>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</si>
  <si>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</si>
  <si>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</si>
  <si>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</si>
  <si>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</si>
  <si>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</si>
  <si>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</si>
  <si>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</si>
  <si>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</si>
  <si>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</si>
  <si>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</si>
  <si>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</si>
  <si>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</si>
  <si>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</si>
  <si>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</si>
  <si>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</si>
  <si>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</si>
  <si>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</si>
  <si>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</si>
  <si>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</si>
  <si>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</si>
  <si>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</si>
  <si>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</si>
  <si>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</si>
  <si>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</si>
  <si>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</si>
  <si>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</si>
  <si>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</si>
  <si>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</si>
  <si>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</si>
  <si>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</si>
  <si>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</si>
  <si>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</si>
  <si>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</si>
  <si>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</si>
  <si>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</si>
  <si>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</si>
  <si>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</si>
  <si>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</si>
  <si>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</si>
  <si>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</si>
  <si>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</si>
  <si>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</si>
  <si>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</si>
  <si>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</si>
  <si>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</si>
  <si>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</si>
  <si>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</si>
  <si>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</si>
  <si>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</si>
  <si>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</si>
  <si>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</si>
  <si>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</si>
  <si>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</si>
  <si>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</si>
  <si>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</si>
  <si>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</si>
  <si>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</si>
  <si>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</si>
  <si>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</si>
  <si>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</si>
  <si>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</si>
  <si>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</si>
  <si>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</si>
  <si>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</si>
  <si>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</si>
  <si>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</si>
  <si>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</si>
  <si>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</si>
  <si>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</si>
  <si>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</si>
  <si>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</si>
  <si>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</si>
  <si>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</si>
  <si>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</si>
  <si>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</si>
  <si>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</si>
  <si>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</si>
  <si>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</si>
  <si>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</si>
  <si>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</si>
  <si>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</si>
  <si>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</si>
  <si>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</si>
  <si>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</si>
  <si>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</si>
  <si>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</si>
  <si>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</si>
  <si>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</si>
  <si>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</si>
  <si>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</si>
  <si>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</si>
  <si>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</si>
  <si>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</si>
  <si>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</si>
  <si>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</si>
  <si>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</si>
  <si>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</si>
  <si>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</si>
  <si>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</si>
  <si>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</si>
  <si>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</si>
  <si>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</si>
  <si>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</si>
  <si>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</si>
  <si>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</si>
  <si>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</si>
  <si>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</si>
  <si>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</si>
  <si>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</si>
  <si>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</si>
  <si>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</si>
  <si>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</si>
  <si>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</si>
  <si>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</si>
  <si>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</si>
  <si>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</si>
  <si>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</si>
  <si>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</si>
  <si>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</si>
  <si>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</si>
  <si>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</si>
  <si>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</si>
  <si>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</si>
  <si>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</si>
  <si>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</si>
  <si>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</si>
  <si>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</si>
  <si>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</si>
  <si>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</si>
  <si>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</si>
  <si>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</si>
  <si>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</si>
  <si>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</si>
  <si>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</si>
  <si>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</si>
  <si>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</si>
  <si>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</si>
  <si>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</si>
  <si>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</si>
  <si>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</si>
  <si>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</si>
  <si>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</si>
  <si>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</si>
  <si>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</si>
  <si>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</si>
  <si>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</si>
  <si>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</si>
  <si>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</si>
  <si>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</si>
  <si>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</si>
  <si>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</si>
  <si>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</si>
  <si>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</si>
  <si>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</si>
  <si>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</si>
  <si>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</si>
  <si>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</si>
  <si>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</si>
  <si>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</si>
  <si>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</si>
  <si>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</si>
  <si>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</si>
  <si>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</si>
  <si>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</si>
  <si>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</si>
  <si>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</si>
  <si>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</si>
  <si>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</si>
  <si>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</si>
  <si>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</si>
  <si>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</si>
  <si>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</si>
  <si>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</si>
  <si>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</si>
  <si>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</si>
  <si>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</si>
  <si>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</si>
  <si>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</si>
  <si>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</si>
  <si>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</si>
  <si>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</si>
  <si>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</si>
  <si>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</si>
  <si>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</si>
  <si>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</si>
  <si>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</si>
  <si>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</si>
  <si>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</si>
  <si>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</si>
  <si>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</si>
  <si>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</si>
  <si>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</si>
  <si>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</si>
  <si>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</si>
  <si>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</si>
  <si>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</si>
  <si>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</si>
  <si>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</si>
  <si>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</si>
  <si>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</si>
  <si>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</si>
  <si>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</si>
  <si>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</si>
  <si>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</si>
  <si>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</si>
  <si>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</si>
  <si>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</si>
  <si>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</si>
  <si>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</si>
  <si>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</si>
  <si>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</si>
  <si>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</si>
  <si>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</si>
  <si>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</si>
  <si>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</si>
  <si>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</si>
  <si>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</si>
  <si>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</si>
  <si>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</si>
  <si>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</si>
  <si>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</si>
  <si>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</si>
  <si>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</si>
  <si>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</si>
  <si>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</si>
  <si>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</si>
  <si>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</si>
  <si>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</si>
  <si>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</si>
  <si>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</si>
  <si>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</si>
  <si>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</si>
  <si>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</si>
  <si>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</si>
  <si>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</si>
  <si>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</si>
  <si>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</si>
  <si>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</si>
  <si>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</si>
  <si>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</si>
  <si>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</si>
  <si>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</si>
  <si>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</si>
  <si>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</si>
  <si>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</si>
  <si>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</si>
  <si>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</si>
  <si>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</si>
  <si>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</si>
  <si>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</si>
  <si>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</si>
  <si>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</si>
  <si>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</si>
  <si>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</si>
  <si>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</si>
  <si>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</si>
  <si>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</si>
  <si>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</si>
  <si>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</si>
  <si>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</si>
  <si>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</si>
  <si>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</si>
  <si>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</si>
  <si>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</si>
  <si>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</si>
  <si>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</si>
  <si>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</si>
  <si>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</si>
  <si>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</si>
  <si>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</si>
  <si>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</si>
  <si>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</si>
  <si>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</si>
  <si>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</si>
  <si>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</si>
  <si>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</si>
  <si>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</si>
  <si>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</si>
  <si>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</si>
  <si>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</si>
  <si>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</si>
  <si>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</si>
  <si>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</si>
  <si>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</si>
  <si>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</si>
  <si>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</si>
  <si>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</si>
  <si>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</si>
  <si>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</si>
  <si>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</si>
  <si>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</si>
  <si>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</si>
  <si>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</si>
  <si>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</si>
  <si>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</si>
  <si>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</si>
  <si>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</si>
  <si>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</si>
  <si>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</si>
  <si>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</si>
  <si>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</si>
  <si>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</si>
  <si>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</si>
  <si>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</si>
  <si>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</si>
  <si>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</si>
  <si>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</si>
  <si>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</si>
  <si>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</si>
  <si>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</si>
  <si>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</si>
  <si>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</si>
  <si>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</si>
  <si>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</si>
  <si>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</si>
  <si>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</si>
  <si>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</si>
  <si>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</si>
  <si>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</si>
  <si>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</si>
  <si>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</si>
  <si>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</si>
  <si>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</si>
  <si>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</si>
  <si>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</si>
  <si>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</si>
  <si>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</si>
  <si>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</si>
  <si>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</si>
  <si>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</si>
  <si>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</si>
  <si>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</si>
  <si>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</si>
  <si>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</si>
  <si>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</si>
  <si>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</si>
  <si>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</si>
  <si>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</si>
  <si>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</si>
  <si>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</si>
  <si>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</si>
  <si>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</si>
  <si>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</si>
  <si>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</si>
  <si>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</si>
  <si>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</si>
  <si>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</si>
  <si>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</si>
  <si>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</si>
  <si>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</si>
  <si>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</si>
  <si>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</si>
  <si>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</si>
  <si>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</si>
  <si>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</si>
  <si>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</si>
  <si>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</si>
  <si>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</si>
  <si>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</si>
  <si>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</si>
  <si>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</si>
  <si>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</si>
  <si>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</si>
  <si>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</si>
  <si>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</si>
  <si>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</si>
  <si>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</si>
  <si>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</si>
  <si>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</si>
  <si>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</si>
  <si>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</si>
  <si>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</si>
  <si>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</si>
  <si>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</si>
  <si>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</si>
  <si>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</si>
  <si>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</si>
  <si>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</si>
  <si>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</si>
  <si>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</si>
  <si>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</si>
  <si>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</si>
  <si>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</si>
  <si>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</si>
  <si>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</si>
  <si>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</si>
  <si>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</si>
  <si>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</si>
  <si>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</si>
  <si>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</si>
  <si>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</si>
  <si>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</si>
  <si>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</si>
  <si>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</si>
  <si>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</si>
  <si>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</si>
  <si>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</si>
  <si>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</si>
  <si>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</si>
  <si>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</si>
  <si>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</si>
  <si>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</si>
  <si>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</si>
  <si>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</si>
  <si>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</si>
  <si>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</si>
  <si>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</si>
  <si>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</si>
  <si>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</si>
  <si>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</si>
  <si>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</si>
  <si>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</si>
  <si>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</si>
  <si>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</si>
  <si>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</si>
  <si>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</si>
  <si>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</si>
  <si>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</si>
  <si>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</si>
  <si>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</si>
  <si>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</si>
  <si>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</si>
  <si>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</si>
  <si>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</si>
  <si>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</si>
  <si>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</si>
  <si>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</si>
  <si>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</si>
  <si>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</si>
  <si>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</si>
  <si>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</si>
  <si>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</si>
  <si>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</si>
  <si>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</si>
  <si>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</si>
  <si>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</si>
  <si>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</si>
  <si>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</si>
  <si>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</si>
  <si>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</si>
  <si>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</si>
  <si>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</si>
  <si>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</si>
  <si>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</si>
  <si>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</si>
  <si>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</si>
  <si>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</si>
  <si>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</si>
  <si>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</si>
  <si>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</si>
  <si>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</si>
  <si>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</si>
  <si>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</si>
  <si>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</si>
  <si>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</si>
  <si>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</si>
  <si>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</si>
  <si>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</si>
  <si>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</si>
  <si>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</si>
  <si>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</si>
  <si>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</si>
  <si>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</si>
  <si>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</si>
  <si>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</si>
  <si>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</si>
  <si>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</si>
  <si>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</si>
  <si>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</si>
  <si>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</si>
  <si>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</si>
  <si>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</si>
  <si>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</si>
  <si>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</si>
  <si>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</si>
  <si>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</si>
  <si>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</si>
  <si>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</si>
  <si>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</si>
  <si>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</si>
  <si>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</si>
  <si>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</si>
  <si>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</si>
  <si>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</si>
  <si>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</si>
  <si>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</si>
  <si>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</si>
  <si>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</si>
  <si>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</si>
  <si>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</si>
  <si>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</si>
  <si>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</si>
  <si>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</si>
  <si>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</si>
  <si>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</si>
  <si>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</si>
  <si>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</si>
  <si>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</si>
  <si>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</si>
  <si>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</si>
  <si>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</si>
  <si>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</si>
  <si>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</si>
  <si>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</si>
  <si>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</si>
  <si>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</si>
  <si>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</si>
  <si>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</si>
  <si>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</si>
  <si>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</si>
  <si>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</si>
  <si>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</si>
  <si>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</si>
  <si>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</si>
  <si>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</si>
  <si>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</si>
  <si>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</si>
  <si>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</si>
  <si>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</si>
  <si>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</si>
  <si>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</si>
  <si>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</si>
  <si>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</si>
  <si>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</si>
  <si>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</si>
  <si>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</si>
  <si>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</si>
  <si>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</si>
  <si>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</si>
  <si>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</si>
  <si>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</si>
  <si>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</si>
  <si>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</si>
  <si>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</si>
  <si>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</si>
  <si>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</si>
  <si>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</si>
  <si>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</si>
  <si>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</si>
  <si>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</si>
  <si>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</si>
  <si>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</si>
  <si>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</si>
  <si>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</si>
  <si>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</si>
  <si>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</si>
  <si>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</si>
  <si>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</si>
  <si>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</si>
  <si>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</si>
  <si>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</si>
  <si>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</si>
  <si>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</si>
  <si>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</si>
  <si>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</si>
  <si>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</si>
  <si>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</si>
  <si>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</si>
  <si>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</si>
  <si>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</si>
  <si>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</si>
  <si>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</si>
  <si>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</si>
  <si>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</si>
  <si>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</si>
  <si>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</si>
  <si>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</si>
  <si>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</si>
  <si>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</si>
  <si>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</si>
  <si>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</si>
  <si>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</si>
  <si>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</si>
  <si>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</si>
  <si>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</si>
  <si>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</si>
  <si>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</si>
  <si>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</si>
  <si>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</si>
  <si>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</si>
  <si>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</si>
  <si>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</si>
  <si>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</si>
  <si>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</si>
  <si>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</si>
  <si>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</si>
  <si>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</si>
  <si>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</si>
  <si>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</si>
  <si>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</si>
  <si>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</si>
  <si>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</si>
  <si>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</si>
  <si>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</si>
  <si>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</si>
  <si>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</si>
  <si>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</si>
  <si>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</si>
  <si>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</si>
  <si>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</si>
  <si>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</si>
  <si>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</si>
  <si>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</si>
  <si>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</si>
  <si>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</si>
  <si>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</si>
  <si>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</si>
  <si>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</si>
  <si>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</si>
  <si>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</si>
  <si>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</si>
  <si>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</si>
  <si>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</si>
  <si>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</si>
  <si>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</si>
  <si>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</si>
  <si>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</si>
  <si>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</si>
  <si>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</si>
  <si>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</si>
  <si>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</si>
  <si>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</si>
  <si>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</si>
  <si>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</si>
  <si>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</si>
  <si>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</si>
  <si>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</si>
  <si>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</si>
  <si>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</si>
  <si>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</si>
  <si>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</si>
  <si>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</si>
  <si>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</si>
  <si>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</si>
  <si>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</si>
  <si>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</si>
  <si>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</si>
  <si>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</si>
  <si>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</si>
  <si>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</si>
  <si>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</si>
  <si>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</si>
  <si>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</si>
  <si>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</si>
  <si>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</si>
  <si>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</si>
  <si>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</si>
  <si>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</si>
  <si>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</si>
  <si>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</si>
  <si>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</si>
  <si>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</si>
  <si>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</si>
  <si>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</si>
  <si>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</si>
  <si>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</si>
  <si>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</si>
  <si>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</si>
  <si>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</si>
  <si>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</si>
  <si>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</si>
  <si>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</si>
  <si>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</si>
  <si>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</si>
  <si>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</si>
  <si>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</si>
  <si>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</si>
  <si>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</si>
  <si>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</si>
  <si>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</si>
  <si>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</si>
  <si>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</si>
  <si>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</si>
  <si>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</si>
  <si>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</si>
  <si>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</si>
  <si>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</si>
  <si>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</si>
  <si>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</si>
  <si>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</si>
  <si>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</si>
  <si>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</si>
  <si>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</si>
  <si>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</si>
  <si>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</si>
  <si>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</si>
  <si>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</si>
  <si>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</si>
  <si>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</si>
  <si>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</si>
  <si>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</si>
  <si>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</si>
  <si>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</si>
  <si>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</si>
  <si>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</si>
  <si>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</si>
  <si>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</si>
  <si>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</si>
  <si>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</si>
  <si>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</si>
  <si>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</si>
  <si>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</si>
  <si>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</si>
  <si>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</si>
  <si>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</si>
  <si>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</si>
  <si>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</si>
  <si>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</si>
  <si>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</si>
  <si>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</si>
  <si>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</si>
  <si>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</si>
  <si>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</si>
  <si>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</si>
  <si>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</si>
  <si>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</si>
  <si>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</si>
  <si>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</si>
  <si>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</si>
  <si>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</si>
  <si>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</si>
  <si>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</si>
  <si>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</si>
  <si>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</si>
  <si>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</si>
  <si>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</si>
  <si>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</si>
  <si>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</si>
  <si>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</si>
  <si>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</si>
  <si>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</si>
  <si>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</si>
  <si>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</si>
  <si>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</si>
  <si>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</si>
  <si>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</si>
  <si>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</si>
  <si>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</si>
  <si>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</si>
  <si>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</si>
  <si>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</si>
  <si>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</si>
  <si>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</si>
  <si>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</si>
  <si>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</si>
  <si>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</si>
  <si>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</si>
  <si>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</si>
  <si>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</si>
  <si>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</si>
  <si>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</si>
  <si>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</si>
  <si>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</si>
  <si>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</si>
  <si>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</si>
  <si>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</si>
  <si>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</si>
  <si>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</si>
  <si>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</si>
  <si>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</si>
  <si>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</si>
  <si>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</si>
  <si>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</si>
  <si>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</si>
  <si>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</si>
  <si>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</si>
  <si>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</si>
  <si>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</si>
  <si>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</si>
  <si>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</si>
  <si>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</si>
  <si>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</si>
  <si>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</si>
  <si>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</si>
  <si>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</si>
  <si>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</si>
  <si>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</si>
  <si>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</si>
  <si>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</si>
  <si>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</si>
  <si>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</si>
  <si>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</si>
  <si>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</si>
  <si>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</si>
  <si>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</si>
  <si>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</si>
  <si>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</si>
  <si>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</si>
  <si>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</si>
  <si>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</si>
  <si>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</si>
  <si>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</si>
  <si>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</si>
  <si>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</si>
  <si>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</si>
  <si>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</si>
  <si>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</si>
  <si>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</si>
  <si>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</si>
  <si>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</si>
  <si>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</si>
  <si>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</si>
  <si>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</si>
  <si>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</si>
  <si>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</si>
  <si>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</si>
  <si>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</si>
  <si>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</si>
  <si>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</si>
  <si>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</si>
  <si>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</si>
  <si>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</si>
  <si>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</si>
  <si>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</si>
  <si>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</si>
  <si>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</si>
  <si>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</si>
  <si>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</si>
  <si>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</si>
  <si>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</si>
  <si>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</si>
  <si>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</si>
  <si>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</si>
  <si>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</si>
  <si>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</si>
  <si>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</si>
  <si>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</si>
  <si>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</si>
  <si>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</si>
  <si>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</si>
  <si>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</si>
  <si>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</si>
  <si>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</si>
  <si>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</si>
  <si>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</si>
  <si>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</si>
  <si>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</si>
  <si>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</si>
  <si>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</si>
  <si>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</si>
  <si>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</si>
  <si>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</si>
  <si>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</si>
  <si>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</si>
  <si>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</si>
  <si>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</si>
  <si>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</si>
  <si>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</si>
  <si>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</si>
  <si>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</si>
  <si>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</si>
  <si>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</si>
  <si>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</si>
  <si>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</si>
  <si>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</si>
  <si>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</si>
  <si>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</si>
  <si>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</si>
  <si>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</si>
  <si>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</si>
  <si>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</si>
  <si>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</si>
  <si>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</si>
  <si>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</si>
  <si>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</si>
  <si>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</si>
  <si>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</si>
  <si>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</si>
  <si>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</si>
  <si>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</si>
  <si>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</si>
  <si>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</si>
  <si>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</si>
  <si>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</si>
  <si>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</si>
  <si>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</si>
  <si>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</si>
  <si>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</si>
  <si>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</si>
  <si>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</si>
  <si>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</si>
  <si>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</si>
  <si>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</si>
  <si>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</si>
  <si>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</si>
  <si>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</si>
  <si>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</si>
  <si>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</si>
  <si>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</si>
  <si>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</si>
  <si>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</si>
  <si>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</si>
  <si>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</si>
  <si>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</si>
  <si>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</si>
  <si>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</si>
  <si>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</si>
  <si>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</si>
  <si>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</si>
  <si>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</si>
  <si>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</si>
  <si>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</si>
  <si>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</si>
  <si>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</si>
  <si>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</si>
  <si>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</si>
  <si>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</si>
  <si>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</si>
  <si>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</si>
  <si>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</si>
  <si>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</si>
  <si>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</si>
  <si>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</si>
  <si>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</si>
  <si>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</si>
  <si>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</si>
  <si>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</si>
  <si>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</si>
  <si>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</si>
  <si>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</si>
  <si>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</si>
  <si>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</si>
  <si>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</si>
  <si>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</si>
  <si>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</si>
  <si>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</si>
  <si>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</si>
  <si>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</si>
  <si>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</si>
  <si>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</si>
  <si>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</si>
  <si>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</si>
  <si>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</si>
  <si>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</si>
  <si>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</si>
  <si>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</si>
  <si>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</si>
  <si>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</si>
  <si>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</si>
  <si>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</si>
  <si>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</si>
  <si>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</si>
  <si>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</si>
  <si>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</si>
  <si>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</si>
  <si>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</si>
  <si>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</si>
  <si>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</si>
  <si>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</si>
  <si>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</si>
  <si>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</si>
  <si>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</si>
  <si>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</si>
  <si>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</si>
  <si>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</si>
  <si>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</si>
  <si>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</si>
  <si>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</si>
  <si>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</si>
  <si>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</si>
  <si>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</si>
  <si>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</si>
  <si>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</si>
  <si>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</si>
  <si>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</si>
  <si>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</si>
  <si>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</si>
  <si>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</si>
  <si>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</si>
  <si>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</si>
  <si>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</si>
  <si>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</si>
  <si>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</si>
  <si>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</si>
  <si>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</si>
  <si>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</si>
  <si>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</si>
  <si>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</si>
  <si>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</si>
  <si>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</si>
  <si>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</si>
  <si>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</si>
  <si>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</si>
  <si>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</si>
  <si>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</si>
  <si>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</si>
  <si>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</si>
  <si>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</si>
  <si>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</si>
  <si>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</si>
  <si>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</si>
  <si>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</si>
  <si>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</si>
  <si>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</si>
  <si>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</si>
  <si>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</si>
  <si>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</si>
  <si>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</si>
  <si>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</si>
  <si>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</si>
  <si>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</si>
  <si>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</si>
  <si>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</si>
  <si>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</si>
  <si>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</si>
  <si>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</si>
  <si>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</si>
  <si>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</si>
  <si>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</si>
  <si>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</si>
  <si>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</si>
  <si>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</si>
  <si>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</si>
  <si>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</si>
  <si>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</si>
  <si>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</si>
  <si>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</si>
  <si>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</si>
  <si>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</si>
  <si>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</si>
  <si>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</si>
  <si>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</si>
  <si>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</si>
  <si>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</si>
  <si>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</si>
  <si>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</si>
  <si>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</si>
  <si>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</si>
  <si>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</si>
  <si>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</si>
  <si>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</si>
  <si>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</si>
  <si>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</si>
  <si>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</si>
  <si>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</si>
  <si>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</si>
  <si>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</si>
  <si>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</si>
  <si>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</si>
  <si>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</si>
  <si>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</si>
  <si>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</si>
  <si>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</si>
  <si>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</si>
  <si>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</si>
  <si>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</si>
  <si>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</si>
  <si>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</si>
  <si>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</si>
  <si>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</si>
  <si>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</si>
  <si>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</si>
  <si>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</si>
  <si>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</si>
  <si>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</si>
  <si>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</si>
  <si>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</si>
  <si>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</si>
  <si>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</si>
  <si>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</si>
  <si>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</si>
  <si>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</si>
  <si>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</si>
  <si>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</si>
  <si>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</si>
  <si>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</si>
  <si>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</si>
  <si>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</si>
  <si>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</si>
  <si>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</si>
  <si>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</si>
  <si>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</si>
  <si>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</si>
  <si>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</si>
  <si>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</si>
  <si>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</si>
  <si>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</si>
  <si>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</si>
  <si>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</si>
  <si>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</si>
  <si>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</si>
  <si>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</si>
  <si>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</si>
  <si>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</si>
  <si>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</si>
  <si>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</si>
  <si>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</si>
  <si>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</si>
  <si>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</si>
  <si>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</si>
  <si>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</si>
  <si>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</si>
  <si>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</si>
  <si>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</si>
  <si>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</si>
  <si>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</si>
  <si>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</si>
  <si>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</si>
  <si>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</si>
  <si>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</si>
  <si>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</si>
  <si>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</si>
  <si>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</si>
  <si>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</si>
  <si>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</si>
  <si>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</si>
  <si>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</si>
  <si>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</si>
  <si>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</si>
  <si>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</si>
  <si>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</si>
  <si>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</si>
  <si>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</si>
  <si>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</si>
  <si>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</si>
  <si>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</si>
  <si>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</si>
  <si>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</si>
  <si>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</si>
  <si>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</si>
  <si>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</si>
  <si>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</si>
  <si>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</si>
  <si>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</si>
  <si>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</si>
  <si>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</si>
  <si>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</si>
  <si>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</si>
  <si>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</si>
  <si>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</si>
  <si>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</si>
  <si>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</si>
  <si>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</si>
  <si>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</si>
  <si>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</si>
  <si>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</si>
  <si>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</si>
  <si>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</si>
  <si>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</si>
  <si>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</si>
  <si>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</si>
  <si>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</si>
  <si>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</si>
  <si>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</si>
  <si>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</si>
  <si>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</si>
  <si>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</si>
  <si>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</si>
  <si>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</si>
  <si>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</si>
  <si>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</si>
  <si>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</si>
  <si>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</si>
  <si>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</si>
  <si>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</si>
  <si>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</si>
  <si>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</si>
  <si>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</si>
  <si>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</si>
  <si>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</si>
  <si>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</si>
  <si>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</si>
  <si>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</si>
  <si>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</si>
  <si>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</si>
  <si>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</si>
  <si>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</si>
  <si>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</si>
  <si>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</si>
  <si>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</si>
  <si>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</si>
  <si>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</si>
  <si>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</si>
  <si>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</si>
  <si>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</si>
  <si>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</si>
  <si>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</si>
  <si>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</si>
  <si>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</si>
  <si>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</si>
  <si>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</si>
  <si>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</si>
  <si>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</si>
  <si>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</si>
  <si>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</si>
  <si>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</si>
  <si>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</si>
  <si>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</si>
  <si>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</si>
  <si>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</si>
  <si>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</si>
  <si>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</si>
  <si>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</si>
  <si>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</si>
  <si>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</si>
  <si>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</si>
  <si>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</si>
  <si>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</si>
  <si>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</si>
  <si>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</si>
  <si>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</si>
  <si>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</si>
  <si>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</si>
  <si>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</si>
  <si>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</si>
  <si>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</si>
  <si>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</si>
  <si>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</si>
  <si>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</si>
  <si>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</si>
  <si>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</si>
  <si>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</si>
  <si>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</si>
  <si>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</si>
  <si>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</si>
  <si>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</si>
  <si>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</si>
  <si>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</si>
  <si>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</si>
  <si>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</si>
  <si>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</si>
  <si>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</si>
  <si>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</si>
  <si>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</si>
  <si>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</si>
  <si>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</si>
  <si>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</si>
  <si>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</si>
  <si>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</si>
  <si>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</si>
  <si>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</si>
  <si>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</si>
  <si>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</si>
  <si>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</si>
  <si>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</si>
  <si>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</si>
  <si>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</si>
  <si>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</si>
  <si>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</si>
  <si>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</si>
  <si>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</si>
  <si>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</si>
  <si>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</si>
  <si>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</si>
  <si>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</si>
  <si>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</si>
  <si>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</si>
  <si>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</si>
  <si>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</si>
  <si>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</si>
  <si>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</si>
  <si>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</si>
  <si>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</si>
  <si>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</si>
  <si>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</si>
  <si>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</si>
  <si>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</si>
  <si>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</si>
  <si>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</si>
  <si>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</si>
  <si>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</si>
  <si>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</si>
  <si>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</si>
  <si>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</si>
  <si>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</si>
  <si>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</si>
  <si>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</si>
  <si>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</si>
  <si>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</si>
  <si>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</si>
  <si>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</si>
  <si>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</si>
  <si>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</si>
  <si>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</si>
  <si>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</si>
  <si>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</si>
  <si>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</si>
  <si>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</si>
  <si>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</si>
  <si>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</si>
  <si>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</si>
  <si>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</si>
  <si>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</si>
  <si>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</si>
  <si>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</si>
  <si>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</si>
  <si>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</si>
  <si>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</si>
  <si>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</si>
  <si>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</si>
  <si>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</si>
  <si>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</si>
  <si>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</si>
  <si>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</si>
  <si>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</si>
  <si>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</si>
  <si>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</si>
  <si>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</si>
  <si>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</si>
  <si>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</si>
  <si>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</si>
  <si>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</si>
  <si>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</si>
  <si>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</si>
  <si>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</si>
  <si>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</si>
  <si>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</si>
  <si>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</si>
  <si>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</si>
  <si>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</si>
  <si>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</si>
  <si>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</si>
  <si>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</si>
  <si>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</si>
  <si>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</si>
  <si>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</si>
  <si>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</si>
  <si>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</si>
  <si>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</si>
  <si>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</si>
  <si>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</si>
  <si>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</si>
  <si>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</si>
  <si>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</si>
  <si>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</si>
  <si>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</si>
  <si>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</si>
  <si>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</si>
  <si>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</si>
  <si>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</si>
  <si>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</si>
  <si>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</si>
  <si>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</si>
  <si>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</si>
  <si>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</si>
  <si>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</si>
  <si>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</si>
  <si>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</si>
  <si>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</si>
  <si>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</si>
  <si>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</si>
  <si>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</si>
  <si>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</si>
  <si>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</si>
  <si>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</si>
  <si>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</si>
  <si>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</si>
  <si>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</si>
  <si>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</si>
  <si>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</si>
  <si>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</si>
  <si>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</si>
  <si>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</si>
  <si>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</si>
  <si>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</si>
  <si>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</si>
  <si>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</si>
  <si>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</si>
  <si>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</si>
  <si>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</si>
  <si>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</si>
  <si>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</si>
  <si>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</si>
  <si>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</si>
  <si>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</si>
  <si>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</si>
  <si>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</si>
  <si>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</si>
  <si>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</si>
  <si>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</si>
  <si>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</si>
  <si>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</si>
  <si>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</si>
  <si>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</si>
  <si>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</si>
  <si>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</si>
  <si>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</si>
  <si>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</si>
  <si>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</si>
  <si>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</si>
  <si>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</si>
  <si>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</si>
  <si>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</si>
  <si>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</si>
  <si>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</si>
  <si>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</si>
  <si>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</si>
  <si>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</si>
  <si>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</si>
  <si>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</si>
  <si>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</si>
  <si>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</si>
  <si>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</si>
  <si>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</si>
  <si>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</si>
  <si>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</si>
  <si>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</si>
  <si>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</si>
  <si>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</si>
  <si>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</si>
  <si>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</si>
  <si>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</si>
  <si>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</si>
  <si>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</si>
  <si>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</si>
  <si>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</si>
  <si>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</si>
  <si>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</si>
  <si>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</si>
  <si>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</si>
  <si>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</si>
  <si>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</si>
  <si>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</si>
  <si>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</si>
  <si>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</si>
  <si>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</si>
  <si>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</si>
  <si>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</si>
  <si>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</si>
  <si>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</si>
  <si>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</si>
  <si>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</si>
  <si>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</si>
  <si>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</si>
  <si>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</si>
  <si>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</si>
  <si>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</si>
  <si>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</si>
  <si>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</si>
  <si>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</si>
  <si>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</si>
  <si>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</si>
  <si>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</si>
  <si>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</si>
  <si>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</si>
  <si>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</si>
  <si>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</si>
  <si>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</si>
  <si>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</si>
  <si>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</si>
  <si>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</si>
  <si>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</si>
  <si>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</si>
  <si>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</si>
  <si>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</si>
  <si>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</si>
  <si>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</si>
  <si>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</si>
  <si>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</si>
  <si>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</si>
  <si>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</si>
  <si>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</si>
  <si>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</si>
  <si>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</si>
  <si>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</si>
  <si>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</si>
  <si>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</si>
  <si>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</si>
  <si>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</si>
  <si>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</si>
  <si>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</si>
  <si>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</si>
  <si>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</si>
  <si>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</si>
  <si>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</si>
  <si>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</si>
  <si>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</si>
  <si>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</si>
  <si>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</si>
  <si>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</si>
  <si>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</si>
  <si>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</si>
  <si>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</si>
  <si>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</si>
  <si>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</si>
  <si>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</si>
  <si>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</si>
  <si>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</si>
  <si>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</si>
  <si>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</si>
  <si>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</si>
  <si>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</si>
  <si>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</si>
  <si>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</si>
  <si>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</si>
  <si>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</si>
  <si>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</si>
  <si>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</si>
  <si>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</si>
  <si>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</si>
  <si>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</si>
  <si>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</si>
  <si>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</si>
  <si>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</si>
  <si>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</si>
  <si>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</si>
  <si>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</si>
  <si>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</si>
  <si>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</si>
  <si>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</si>
  <si>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</si>
  <si>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</si>
  <si>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</si>
  <si>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</si>
  <si>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</si>
  <si>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</si>
  <si>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</si>
  <si>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</si>
  <si>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</si>
  <si>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</si>
  <si>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</si>
  <si>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</si>
  <si>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</si>
  <si>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</si>
  <si>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</si>
  <si>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</si>
  <si>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</si>
  <si>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</si>
  <si>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</si>
  <si>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</si>
  <si>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</si>
  <si>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</si>
  <si>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</si>
  <si>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</si>
  <si>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</si>
  <si>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</si>
  <si>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</si>
  <si>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</si>
  <si>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</si>
  <si>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</si>
  <si>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</si>
  <si>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</si>
  <si>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</si>
  <si>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</si>
  <si>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</si>
  <si>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</si>
  <si>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</si>
  <si>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</si>
  <si>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</si>
  <si>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</si>
  <si>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</si>
  <si>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</si>
  <si>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</si>
  <si>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</si>
  <si>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</si>
  <si>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</si>
  <si>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</si>
  <si>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</si>
  <si>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</si>
  <si>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</si>
  <si>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</si>
  <si>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</si>
  <si>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</si>
  <si>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</si>
  <si>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</si>
  <si>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</si>
  <si>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</si>
  <si>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</si>
  <si>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</si>
  <si>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</si>
  <si>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</si>
  <si>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</si>
  <si>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</si>
  <si>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</si>
  <si>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</si>
  <si>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</si>
  <si>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</si>
  <si>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</si>
  <si>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</si>
  <si>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</si>
  <si>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</si>
  <si>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</si>
  <si>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</si>
  <si>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</si>
  <si>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</si>
  <si>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</si>
  <si>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</si>
  <si>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</si>
  <si>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</si>
  <si>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</si>
  <si>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</si>
  <si>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</si>
  <si>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</si>
  <si>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</si>
  <si>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</si>
  <si>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</si>
  <si>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</si>
  <si>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</si>
  <si>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</si>
  <si>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</si>
  <si>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</si>
  <si>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</si>
  <si>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</si>
  <si>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</si>
  <si>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</si>
  <si>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</si>
  <si>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</si>
  <si>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</si>
  <si>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</si>
  <si>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</si>
  <si>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</si>
  <si>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</si>
  <si>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</si>
  <si>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</si>
  <si>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</si>
  <si>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</si>
  <si>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</si>
  <si>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</si>
  <si>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</si>
  <si>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</si>
  <si>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</si>
  <si>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</si>
  <si>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</si>
  <si>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</si>
  <si>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</si>
  <si>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</si>
  <si>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</si>
  <si>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</si>
  <si>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</si>
  <si>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</si>
  <si>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</si>
  <si>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</si>
  <si>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</si>
  <si>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</si>
  <si>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</si>
  <si>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</si>
  <si>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</si>
  <si>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</si>
  <si>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</si>
  <si>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</si>
  <si>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</si>
  <si>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</si>
  <si>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</si>
  <si>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</si>
  <si>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</si>
  <si>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</si>
  <si>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</si>
  <si>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</si>
  <si>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</si>
  <si>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</si>
  <si>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</si>
  <si>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</si>
  <si>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</si>
  <si>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</si>
  <si>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</si>
  <si>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</si>
  <si>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</si>
  <si>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</si>
  <si>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</si>
  <si>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</si>
  <si>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</si>
  <si>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</si>
  <si>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</si>
  <si>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</si>
  <si>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</si>
  <si>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</si>
  <si>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</si>
  <si>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</si>
  <si>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</si>
  <si>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</si>
  <si>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</si>
  <si>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</si>
  <si>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</si>
  <si>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</si>
  <si>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</si>
  <si>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</si>
  <si>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</si>
  <si>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</si>
  <si>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</si>
  <si>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</si>
  <si>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</si>
  <si>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</si>
  <si>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</si>
  <si>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</si>
  <si>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</si>
  <si>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</si>
  <si>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</si>
  <si>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</si>
  <si>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</si>
  <si>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</si>
  <si>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</si>
  <si>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</si>
  <si>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</si>
  <si>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</si>
  <si>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</si>
  <si>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</si>
  <si>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</si>
  <si>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</si>
  <si>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</si>
  <si>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</si>
  <si>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</si>
  <si>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</si>
  <si>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</si>
  <si>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</si>
  <si>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</si>
  <si>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</si>
  <si>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</si>
  <si>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</si>
  <si>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</si>
  <si>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</si>
  <si>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</si>
  <si>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</si>
  <si>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</si>
  <si>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</si>
  <si>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</si>
  <si>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</si>
  <si>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</si>
  <si>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</si>
  <si>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</si>
  <si>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</si>
  <si>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</si>
  <si>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</si>
  <si>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</si>
  <si>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</si>
  <si>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</si>
  <si>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</si>
  <si>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</si>
  <si>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</si>
  <si>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</si>
  <si>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</si>
  <si>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</si>
  <si>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</si>
  <si>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</si>
  <si>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</si>
  <si>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</si>
  <si>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</si>
  <si>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</si>
  <si>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</si>
  <si>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</si>
  <si>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</si>
  <si>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</si>
  <si>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</si>
  <si>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</si>
  <si>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</si>
  <si>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</si>
  <si>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</si>
  <si>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</si>
  <si>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</si>
  <si>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</si>
  <si>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</si>
  <si>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</si>
  <si>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</si>
  <si>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</si>
  <si>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</si>
  <si>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</si>
  <si>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</si>
  <si>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</si>
  <si>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</si>
  <si>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</si>
  <si>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</si>
  <si>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</si>
  <si>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</si>
  <si>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</si>
  <si>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</si>
  <si>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</si>
  <si>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</si>
  <si>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</si>
  <si>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</si>
  <si>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</si>
  <si>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</si>
  <si>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</si>
  <si>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</si>
  <si>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</si>
  <si>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</si>
  <si>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</si>
  <si>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</si>
  <si>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</si>
  <si>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</si>
  <si>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</si>
  <si>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</si>
  <si>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</si>
  <si>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</si>
  <si>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</si>
  <si>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</si>
  <si>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</si>
  <si>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</si>
  <si>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</si>
  <si>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</si>
  <si>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</si>
  <si>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</si>
  <si>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</si>
  <si>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</si>
  <si>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</si>
  <si>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</si>
  <si>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</si>
  <si>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</si>
  <si>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</si>
  <si>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</si>
  <si>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</si>
  <si>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</si>
  <si>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</si>
  <si>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</si>
  <si>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</si>
  <si>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</si>
  <si>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</si>
  <si>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</si>
  <si>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</si>
  <si>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</si>
  <si>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</si>
  <si>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</si>
  <si>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</si>
  <si>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</si>
  <si>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</si>
  <si>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</si>
  <si>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</si>
  <si>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</si>
  <si>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</si>
  <si>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</si>
  <si>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</si>
  <si>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</si>
  <si>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</si>
  <si>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</si>
  <si>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</si>
  <si>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</si>
  <si>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</si>
  <si>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</si>
  <si>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</si>
  <si>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</si>
  <si>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</si>
  <si>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</si>
  <si>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</si>
  <si>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</si>
  <si>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</si>
  <si>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</si>
  <si>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</si>
  <si>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</si>
  <si>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</si>
  <si>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</si>
  <si>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</si>
  <si>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</si>
  <si>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</si>
  <si>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</si>
  <si>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</si>
  <si>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</si>
  <si>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</si>
  <si>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</si>
  <si>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</si>
  <si>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</si>
  <si>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</si>
  <si>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</si>
  <si>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</si>
  <si>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</si>
  <si>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</si>
  <si>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</si>
  <si>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</si>
  <si>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</si>
  <si>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</si>
  <si>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</si>
  <si>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</si>
  <si>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</si>
  <si>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</si>
  <si>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</si>
  <si>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</si>
  <si>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</si>
  <si>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</si>
  <si>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</si>
  <si>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</si>
  <si>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</si>
  <si>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</si>
  <si>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</si>
  <si>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</si>
  <si>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</si>
  <si>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</si>
  <si>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</si>
  <si>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</si>
  <si>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</si>
  <si>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</si>
  <si>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</si>
  <si>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</si>
  <si>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</si>
  <si>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</si>
  <si>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</si>
  <si>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</si>
  <si>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</si>
  <si>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</si>
  <si>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</si>
  <si>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</si>
  <si>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</si>
  <si>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</si>
  <si>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</si>
  <si>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</si>
  <si>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</si>
  <si>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</si>
  <si>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</si>
  <si>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</si>
  <si>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</si>
  <si>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</si>
  <si>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</si>
  <si>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</si>
  <si>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</si>
  <si>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</si>
  <si>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</si>
  <si>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</si>
  <si>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</si>
  <si>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</si>
  <si>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</si>
  <si>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</si>
  <si>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</si>
  <si>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</si>
  <si>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</si>
  <si>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</si>
  <si>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</si>
  <si>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</si>
  <si>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</si>
  <si>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</si>
  <si>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</si>
  <si>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</si>
  <si>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</si>
  <si>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</si>
  <si>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</si>
  <si>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</si>
  <si>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</si>
  <si>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</si>
  <si>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</si>
  <si>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</si>
  <si>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</si>
  <si>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</si>
  <si>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</si>
  <si>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</si>
  <si>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</si>
  <si>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</si>
  <si>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</si>
  <si>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</si>
  <si>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</si>
  <si>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</si>
  <si>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</si>
  <si>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</si>
  <si>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</si>
  <si>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</si>
  <si>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</si>
  <si>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</si>
  <si>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</si>
  <si>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</si>
  <si>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</si>
  <si>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</si>
  <si>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</si>
  <si>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</si>
  <si>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</si>
  <si>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</si>
  <si>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</si>
  <si>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</si>
  <si>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</si>
  <si>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</si>
  <si>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</si>
  <si>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</si>
  <si>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</si>
  <si>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</si>
  <si>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</si>
  <si>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</si>
  <si>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</si>
  <si>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</si>
  <si>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</si>
  <si>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</si>
  <si>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</si>
  <si>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</si>
  <si>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</si>
  <si>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</si>
  <si>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</si>
  <si>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</si>
  <si>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</si>
  <si>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</si>
  <si>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</si>
  <si>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</si>
  <si>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</si>
  <si>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</si>
  <si>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</si>
  <si>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</si>
  <si>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</si>
  <si>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</si>
  <si>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</si>
  <si>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</si>
  <si>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</si>
  <si>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</si>
  <si>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</si>
  <si>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</si>
  <si>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</si>
  <si>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</si>
  <si>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</si>
  <si>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</si>
  <si>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</si>
  <si>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</si>
  <si>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</si>
  <si>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</si>
  <si>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</si>
  <si>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</si>
  <si>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</si>
  <si>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</si>
  <si>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</si>
  <si>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</si>
  <si>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</si>
  <si>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</si>
  <si>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</si>
  <si>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</si>
  <si>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</si>
  <si>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</si>
  <si>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</si>
  <si>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</si>
  <si>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</si>
  <si>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</si>
  <si>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</si>
  <si>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</si>
  <si>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</si>
  <si>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</si>
  <si>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</si>
  <si>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</si>
  <si>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</si>
  <si>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</si>
  <si>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</si>
  <si>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</si>
  <si>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</si>
  <si>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</si>
  <si>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</si>
  <si>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</si>
  <si>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</si>
  <si>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</si>
  <si>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</si>
  <si>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</si>
  <si>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</si>
  <si>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</si>
  <si>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</si>
  <si>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</si>
  <si>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</si>
  <si>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</si>
  <si>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</si>
  <si>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</si>
  <si>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</si>
  <si>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</si>
  <si>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</si>
  <si>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</si>
  <si>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</si>
  <si>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</si>
  <si>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</si>
  <si>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</si>
  <si>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</si>
  <si>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</si>
  <si>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</si>
  <si>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</si>
  <si>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</si>
  <si>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</si>
  <si>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</si>
  <si>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</si>
  <si>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</si>
  <si>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</si>
  <si>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</si>
  <si>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</si>
  <si>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</si>
  <si>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</si>
  <si>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</si>
  <si>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</si>
  <si>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</si>
  <si>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</si>
  <si>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</si>
  <si>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</si>
  <si>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</si>
  <si>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</si>
  <si>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</si>
  <si>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</si>
  <si>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</si>
  <si>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</si>
  <si>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</si>
  <si>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</si>
  <si>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</si>
  <si>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</si>
  <si>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</si>
  <si>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</si>
  <si>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</si>
  <si>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</si>
  <si>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</si>
  <si>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</si>
  <si>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</si>
  <si>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</si>
  <si>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</si>
  <si>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</si>
  <si>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</si>
  <si>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</si>
  <si>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</si>
  <si>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</si>
  <si>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</si>
  <si>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</si>
  <si>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</si>
  <si>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</si>
  <si>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</si>
  <si>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</si>
  <si>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</si>
  <si>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</si>
  <si>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</si>
  <si>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</si>
  <si>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</si>
  <si>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</si>
  <si>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</si>
  <si>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</si>
  <si>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</si>
  <si>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</si>
  <si>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</si>
  <si>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</si>
  <si>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</si>
  <si>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</si>
  <si>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</si>
  <si>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</si>
  <si>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</si>
  <si>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</si>
  <si>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</si>
  <si>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</si>
  <si>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</si>
  <si>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</si>
  <si>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</si>
  <si>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</si>
  <si>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</si>
  <si>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</si>
  <si>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</si>
  <si>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</si>
  <si>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</si>
  <si>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</si>
  <si>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</si>
  <si>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</si>
  <si>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</si>
  <si>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</si>
  <si>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</si>
  <si>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</si>
  <si>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</si>
  <si>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</si>
  <si>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</si>
  <si>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</si>
  <si>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</si>
  <si>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</si>
  <si>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</si>
  <si>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</si>
  <si>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</si>
  <si>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</si>
  <si>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</si>
  <si>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</si>
  <si>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</si>
  <si>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</si>
  <si>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</si>
  <si>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</si>
  <si>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</si>
  <si>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</si>
  <si>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</si>
  <si>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</si>
  <si>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</si>
  <si>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</si>
  <si>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</si>
  <si>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</si>
  <si>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</si>
  <si>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</si>
  <si>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</si>
  <si>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</si>
  <si>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</si>
  <si>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</si>
  <si>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</si>
  <si>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</si>
  <si>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</si>
  <si>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</si>
  <si>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</si>
  <si>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</si>
  <si>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</si>
  <si>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</si>
  <si>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</si>
  <si>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</si>
  <si>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</si>
  <si>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</si>
  <si>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</si>
  <si>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</si>
  <si>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</si>
  <si>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</si>
  <si>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</si>
  <si>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</si>
  <si>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</si>
  <si>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</si>
  <si>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</si>
  <si>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</si>
  <si>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</si>
  <si>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</si>
  <si>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</si>
  <si>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</si>
  <si>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</si>
  <si>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</si>
  <si>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</si>
  <si>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</si>
  <si>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</si>
  <si>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</si>
  <si>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</si>
  <si>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</si>
  <si>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</si>
  <si>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</si>
  <si>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</si>
  <si>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</si>
  <si>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</si>
  <si>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</si>
  <si>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</si>
  <si>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</si>
  <si>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</si>
  <si>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</si>
  <si>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</si>
  <si>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</si>
  <si>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</si>
  <si>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</si>
  <si>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</si>
  <si>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</si>
  <si>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</si>
  <si>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</si>
  <si>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</si>
  <si>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</si>
  <si>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</si>
  <si>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</si>
  <si>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</si>
  <si>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</si>
  <si>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</si>
  <si>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</si>
  <si>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</si>
  <si>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</si>
  <si>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</si>
  <si>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</si>
  <si>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</si>
  <si>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</si>
  <si>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</si>
  <si>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</si>
  <si>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</si>
  <si>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</si>
  <si>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</si>
  <si>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</si>
  <si>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</si>
  <si>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</si>
  <si>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</si>
  <si>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</si>
  <si>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</si>
  <si>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</si>
  <si>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</si>
  <si>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</si>
  <si>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</si>
  <si>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</si>
  <si>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</si>
  <si>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</si>
  <si>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</si>
  <si>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</si>
  <si>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</si>
  <si>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</si>
  <si>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</si>
  <si>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</si>
  <si>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</si>
  <si>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</si>
  <si>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</si>
  <si>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</si>
  <si>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</si>
  <si>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</si>
  <si>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</si>
  <si>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</si>
  <si>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</si>
  <si>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</si>
  <si>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</si>
  <si>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</si>
  <si>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</si>
  <si>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</si>
  <si>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</si>
  <si>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</si>
  <si>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</si>
  <si>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</si>
  <si>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</si>
  <si>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</si>
  <si>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</si>
  <si>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</si>
  <si>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</si>
  <si>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</si>
  <si>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</si>
  <si>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</si>
  <si>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</si>
  <si>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</si>
  <si>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</si>
  <si>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</si>
  <si>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</si>
  <si>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</si>
  <si>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</si>
  <si>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</si>
  <si>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</si>
  <si>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</si>
  <si>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</si>
  <si>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</si>
  <si>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</si>
  <si>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</si>
  <si>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</si>
  <si>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</si>
  <si>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</si>
  <si>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</si>
  <si>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</si>
  <si>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</si>
  <si>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</si>
  <si>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</si>
  <si>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</si>
  <si>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</si>
  <si>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</si>
  <si>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</si>
  <si>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</si>
  <si>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</si>
  <si>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</si>
  <si>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</si>
  <si>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</si>
  <si>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</si>
  <si>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</si>
  <si>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</si>
  <si>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</si>
  <si>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</si>
  <si>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</si>
  <si>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</si>
  <si>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</si>
  <si>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</si>
  <si>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</si>
  <si>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</si>
  <si>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</si>
  <si>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</si>
  <si>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</si>
  <si>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</si>
  <si>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</si>
  <si>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</si>
  <si>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</si>
  <si>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</si>
  <si>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</si>
  <si>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</si>
  <si>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</si>
  <si>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</si>
  <si>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</si>
  <si>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</si>
  <si>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</si>
  <si>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</si>
  <si>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</si>
  <si>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</si>
  <si>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</si>
  <si>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</si>
  <si>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</si>
  <si>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</si>
  <si>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</si>
  <si>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</si>
  <si>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</si>
  <si>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</si>
  <si>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</si>
  <si>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</si>
  <si>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</si>
  <si>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</si>
  <si>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</si>
  <si>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</si>
  <si>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</si>
  <si>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</si>
  <si>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</si>
  <si>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</si>
  <si>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</si>
  <si>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</si>
  <si>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</si>
  <si>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</si>
  <si>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</si>
  <si>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</si>
  <si>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</si>
  <si>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</si>
  <si>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</si>
  <si>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</si>
  <si>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</si>
  <si>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</si>
  <si>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</si>
  <si>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</si>
  <si>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</si>
  <si>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</si>
  <si>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</si>
  <si>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</si>
  <si>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</si>
  <si>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</si>
  <si>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</si>
  <si>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</si>
  <si>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</si>
  <si>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</si>
  <si>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</si>
  <si>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</si>
  <si>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</si>
  <si>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</si>
  <si>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</si>
  <si>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</si>
  <si>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</si>
  <si>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</si>
  <si>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</si>
  <si>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</si>
  <si>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</si>
  <si>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</si>
  <si>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</si>
  <si>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</si>
  <si>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</si>
  <si>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</si>
  <si>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</si>
  <si>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</si>
  <si>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</si>
  <si>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</si>
  <si>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</si>
  <si>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</si>
  <si>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</si>
  <si>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</si>
  <si>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</si>
  <si>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</si>
  <si>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</si>
  <si>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</si>
  <si>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</si>
  <si>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</si>
  <si>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</si>
  <si>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</si>
  <si>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</si>
  <si>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</si>
  <si>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</si>
  <si>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</si>
  <si>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</si>
  <si>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</si>
  <si>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</si>
  <si>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</si>
  <si>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</si>
  <si>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</si>
  <si>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</si>
  <si>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</si>
  <si>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</si>
  <si>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</si>
  <si>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</si>
  <si>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</si>
  <si>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</si>
  <si>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</si>
  <si>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</si>
  <si>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</si>
  <si>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</si>
  <si>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</si>
  <si>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</si>
  <si>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</si>
  <si>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</si>
  <si>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</si>
  <si>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</si>
  <si>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</si>
  <si>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</si>
  <si>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</si>
  <si>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</si>
  <si>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</si>
  <si>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</si>
  <si>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</si>
  <si>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</si>
  <si>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</si>
  <si>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</si>
  <si>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</si>
  <si>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</si>
  <si>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</si>
  <si>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</si>
  <si>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</si>
  <si>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</si>
  <si>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</si>
  <si>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</si>
  <si>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</si>
  <si>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</si>
  <si>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</si>
  <si>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</si>
  <si>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</si>
  <si>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</si>
  <si>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</si>
  <si>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</si>
  <si>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</si>
  <si>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</si>
  <si>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</si>
  <si>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</si>
  <si>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</si>
  <si>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</si>
  <si>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</si>
  <si>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</si>
  <si>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</si>
  <si>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</si>
  <si>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</si>
  <si>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</si>
  <si>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</si>
  <si>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</si>
  <si>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</si>
  <si>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</si>
  <si>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</si>
  <si>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</si>
  <si>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</si>
  <si>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</si>
  <si>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</si>
  <si>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</si>
  <si>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</si>
  <si>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</si>
  <si>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</si>
  <si>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</si>
  <si>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</si>
  <si>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</si>
  <si>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</si>
  <si>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</si>
  <si>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</si>
  <si>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</si>
  <si>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</si>
  <si>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</si>
  <si>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</si>
  <si>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</si>
  <si>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</si>
  <si>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</si>
  <si>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</si>
  <si>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</si>
  <si>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</si>
  <si>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</si>
  <si>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</si>
  <si>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</si>
  <si>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</si>
  <si>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</si>
  <si>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</si>
  <si>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</si>
  <si>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</si>
  <si>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</si>
  <si>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</si>
  <si>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</si>
  <si>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</si>
  <si>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</si>
  <si>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</si>
  <si>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</si>
  <si>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</si>
  <si>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</si>
  <si>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</si>
  <si>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</si>
  <si>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</si>
  <si>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</si>
  <si>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</si>
  <si>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</si>
  <si>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</si>
  <si>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</si>
  <si>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</si>
  <si>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</si>
  <si>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</si>
  <si>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</si>
  <si>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</si>
  <si>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</si>
  <si>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</si>
  <si>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</si>
  <si>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</si>
  <si>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</si>
  <si>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</si>
  <si>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</si>
  <si>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</si>
  <si>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</si>
  <si>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</si>
  <si>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</si>
  <si>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</si>
  <si>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</si>
  <si>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</si>
  <si>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</si>
  <si>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</si>
  <si>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</si>
  <si>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</si>
  <si>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</si>
  <si>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</si>
  <si>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</si>
  <si>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</si>
  <si>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</si>
  <si>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</si>
  <si>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</si>
  <si>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</si>
  <si>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</si>
  <si>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</si>
  <si>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</si>
  <si>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</si>
  <si>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</si>
  <si>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</si>
  <si>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</si>
  <si>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</si>
  <si>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</si>
  <si>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</si>
  <si>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</si>
  <si>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</si>
  <si>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</si>
  <si>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</si>
  <si>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</si>
  <si>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</si>
  <si>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</si>
  <si>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</si>
  <si>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</si>
  <si>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</si>
  <si>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</si>
  <si>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</si>
  <si>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</si>
  <si>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</si>
  <si>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</si>
  <si>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</si>
  <si>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</si>
  <si>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</si>
  <si>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</si>
  <si>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</si>
  <si>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</si>
  <si>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</si>
  <si>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</si>
  <si>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</si>
  <si>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</si>
  <si>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</si>
  <si>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</si>
  <si>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</si>
  <si>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</si>
  <si>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</si>
  <si>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</si>
  <si>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</si>
  <si>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</si>
  <si>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</si>
  <si>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</si>
  <si>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</si>
  <si>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</si>
  <si>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</si>
  <si>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</si>
  <si>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</si>
  <si>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</si>
  <si>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</si>
  <si>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</si>
  <si>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</si>
  <si>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</si>
  <si>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</si>
  <si>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</si>
  <si>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</si>
  <si>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</si>
  <si>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</si>
  <si>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</si>
  <si>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</si>
  <si>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</si>
  <si>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</si>
  <si>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</si>
  <si>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</si>
  <si>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</si>
  <si>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</si>
  <si>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</si>
  <si>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</si>
  <si>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</si>
  <si>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</si>
  <si>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</si>
  <si>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</si>
  <si>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</si>
  <si>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</si>
  <si>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</si>
  <si>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</si>
  <si>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</si>
  <si>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</si>
  <si>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</si>
  <si>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</si>
  <si>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</si>
  <si>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</si>
  <si>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</si>
  <si>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</si>
  <si>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</si>
  <si>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</si>
  <si>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</si>
  <si>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</si>
  <si>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</si>
  <si>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</si>
  <si>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</si>
  <si>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</si>
  <si>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</si>
  <si>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</si>
  <si>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</si>
  <si>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</si>
  <si>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</si>
  <si>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</si>
  <si>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</si>
  <si>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</si>
  <si>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</si>
  <si>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</si>
  <si>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</si>
  <si>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</si>
  <si>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</si>
  <si>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</si>
  <si>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</si>
  <si>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</si>
  <si>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</si>
  <si>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</si>
  <si>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</si>
  <si>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</si>
  <si>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</si>
  <si>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</si>
  <si>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</si>
  <si>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</si>
  <si>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</si>
  <si>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</si>
  <si>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</si>
  <si>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</si>
  <si>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</si>
  <si>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</si>
  <si>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</si>
  <si>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</si>
  <si>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</si>
  <si>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</si>
  <si>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</si>
  <si>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</si>
  <si>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</si>
  <si>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</si>
  <si>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</si>
  <si>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</si>
  <si>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</si>
  <si>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</si>
  <si>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</si>
  <si>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</si>
  <si>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</si>
  <si>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</si>
  <si>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</si>
  <si>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</si>
  <si>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</si>
  <si>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</si>
  <si>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</si>
  <si>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</si>
  <si>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</si>
  <si>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</si>
  <si>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</si>
  <si>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</si>
  <si>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</si>
  <si>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</si>
  <si>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</si>
  <si>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</si>
  <si>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</si>
  <si>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</si>
  <si>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</si>
  <si>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</si>
  <si>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</si>
  <si>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</si>
  <si>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</si>
  <si>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</si>
  <si>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</si>
  <si>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</si>
  <si>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</si>
  <si>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</si>
  <si>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</si>
  <si>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</si>
  <si>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</si>
  <si>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</si>
  <si>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</si>
  <si>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</si>
  <si>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</si>
  <si>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</si>
  <si>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</si>
  <si>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</si>
  <si>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</si>
  <si>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</si>
  <si>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</si>
  <si>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</si>
  <si>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</si>
  <si>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</si>
  <si>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</si>
  <si>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</si>
  <si>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</si>
  <si>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</si>
  <si>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</si>
  <si>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</si>
  <si>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</si>
  <si>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</si>
  <si>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</si>
  <si>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</si>
  <si>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</si>
  <si>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</si>
  <si>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</si>
  <si>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</si>
  <si>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</si>
  <si>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</si>
  <si>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</si>
  <si>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</si>
  <si>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</si>
  <si>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</si>
  <si>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</si>
  <si>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</si>
  <si>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</si>
  <si>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</si>
  <si>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</si>
  <si>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</si>
  <si>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</si>
  <si>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</si>
  <si>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</si>
  <si>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</si>
  <si>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</si>
  <si>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</si>
  <si>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</si>
  <si>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</si>
  <si>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</si>
  <si>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</si>
  <si>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</si>
  <si>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</si>
  <si>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</si>
  <si>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</si>
  <si>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</si>
  <si>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</si>
  <si>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</si>
  <si>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</si>
  <si>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</si>
  <si>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</si>
  <si>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</si>
  <si>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</si>
  <si>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</si>
  <si>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</si>
  <si>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</si>
  <si>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</si>
  <si>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</si>
  <si>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</si>
  <si>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</si>
  <si>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</si>
  <si>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</si>
  <si>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</si>
  <si>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</si>
  <si>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</si>
  <si>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</si>
  <si>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</si>
  <si>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</si>
  <si>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</si>
  <si>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</si>
  <si>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</si>
  <si>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</si>
  <si>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</si>
  <si>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</si>
  <si>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</si>
  <si>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</si>
  <si>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</si>
  <si>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</si>
  <si>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</si>
  <si>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</si>
  <si>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</si>
  <si>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</si>
  <si>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</si>
  <si>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</si>
  <si>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</si>
  <si>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</si>
  <si>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</si>
  <si>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</si>
  <si>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</si>
  <si>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</si>
  <si>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</si>
  <si>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</si>
  <si>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</si>
  <si>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</si>
  <si>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</si>
  <si>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</si>
  <si>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</si>
  <si>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</si>
  <si>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</si>
  <si>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</si>
  <si>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</si>
  <si>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</si>
  <si>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</si>
  <si>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</si>
  <si>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</si>
  <si>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</si>
  <si>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</si>
  <si>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</si>
  <si>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</si>
  <si>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</si>
  <si>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</si>
  <si>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</si>
  <si>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</si>
  <si>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</si>
  <si>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</si>
  <si>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</si>
  <si>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</si>
  <si>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</si>
  <si>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</si>
  <si>
    <t>Термонаклейка набор Человек-Паук Майлс spider-man</t>
  </si>
  <si>
    <t>Термонаклейка набор Губка Спанч Боб Sponge Bob в1</t>
  </si>
  <si>
    <t>Термонаклейка набор Черепашки ниндзя TMNT в2</t>
  </si>
  <si>
    <t>Термонаклейка набор Том и Джерри Tom and Jerry в2</t>
  </si>
  <si>
    <t>OZN4096825283</t>
  </si>
  <si>
    <t>OZN4097357088</t>
  </si>
  <si>
    <t>OZN4097353439</t>
  </si>
  <si>
    <t>OZN4097355880</t>
  </si>
  <si>
    <t>OZN4097348153</t>
  </si>
  <si>
    <t>OZN4097353989</t>
  </si>
  <si>
    <t>OZN4097347477</t>
  </si>
  <si>
    <t>OZN4097343848</t>
  </si>
  <si>
    <t>OZN4097352568</t>
  </si>
  <si>
    <t>OZN4097353255</t>
  </si>
  <si>
    <t>OZN4097347811</t>
  </si>
  <si>
    <t>OZN4097352526</t>
  </si>
  <si>
    <t>OZN4097349517</t>
  </si>
  <si>
    <t>OZN4097352049</t>
  </si>
  <si>
    <t>OZN4097356231</t>
  </si>
  <si>
    <t>OZN4097353632</t>
  </si>
  <si>
    <t>OZN4097351736</t>
  </si>
  <si>
    <t>OZN4097352831</t>
  </si>
  <si>
    <t>OZN4097350929</t>
  </si>
  <si>
    <t>OZN4097352873</t>
  </si>
  <si>
    <t>OZN4097349384</t>
  </si>
  <si>
    <t>OZN4097348346</t>
  </si>
  <si>
    <t>OZN4097351211</t>
  </si>
  <si>
    <t>OZN4097349059</t>
  </si>
  <si>
    <t>OZN4097721358</t>
  </si>
  <si>
    <t>OZN4097346502</t>
  </si>
  <si>
    <t>OZN4097353477</t>
  </si>
  <si>
    <t>OZN4097352628</t>
  </si>
  <si>
    <t>OZN4097347345</t>
  </si>
  <si>
    <t>OZN4097347744</t>
  </si>
  <si>
    <t>OZN4097350337</t>
  </si>
  <si>
    <t>OZN4097350701</t>
  </si>
  <si>
    <t>OZN4097350527</t>
  </si>
  <si>
    <t>OZN4097353118</t>
  </si>
  <si>
    <t>OZN4097719204</t>
  </si>
  <si>
    <t>OZN4097713921</t>
  </si>
  <si>
    <t>OZN4097714541</t>
  </si>
  <si>
    <t>OZN4097356049</t>
  </si>
  <si>
    <t>OZN4097352717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</si>
</sst>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family val="2"/>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460" zoomScale="110" zoomScaleNormal="110" workbookViewId="0">
      <selection activeCell="E463" sqref="E463"/>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CONCATENATE("C:\Users\maxim\Documents\GitHub\Ozon_upload\DTF_images\birki\",C123,".tif")</f>
        <v>C:\Users\maxim\Documents\GitHub\Ozon_upload\DTF_images\birki\termoprints_white_a5.tif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3114</v>
      </c>
      <c r="B671" t="s">
        <v>3154</v>
      </c>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3145</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t="s">
        <v>3155</v>
      </c>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3145</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t="s">
        <v>3156</v>
      </c>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3145</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t="s">
        <v>3157</v>
      </c>
      <c r="C674" s="57" t="s">
        <v>3037</v>
      </c>
      <c r="D674" s="59" t="str">
        <f>CONCATENATE("Documents\GitHub\Ozon_upload\barcode\punky monkey\set_numbers\numbers_black\", A674, ".pdf")</f>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3145</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t="s">
        <v>3158</v>
      </c>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3145</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t="s">
        <v>3159</v>
      </c>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3145</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t="s">
        <v>3160</v>
      </c>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3145</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t="s">
        <v>3161</v>
      </c>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3145</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t="s">
        <v>3162</v>
      </c>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3145</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t="s">
        <v>3163</v>
      </c>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3145</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t="s">
        <v>3164</v>
      </c>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3146</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t="s">
        <v>3165</v>
      </c>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3146</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t="s">
        <v>3166</v>
      </c>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3146</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t="s">
        <v>3167</v>
      </c>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3146</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t="s">
        <v>3168</v>
      </c>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3146</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t="s">
        <v>3169</v>
      </c>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3146</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t="s">
        <v>3170</v>
      </c>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3146</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t="s">
        <v>3171</v>
      </c>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3146</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t="s">
        <v>3172</v>
      </c>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3146</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t="s">
        <v>3173</v>
      </c>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3146</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3144</v>
      </c>
      <c r="B691" t="s">
        <v>3174</v>
      </c>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3147</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3141</v>
      </c>
      <c r="B692" t="s">
        <v>3175</v>
      </c>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3147</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3139</v>
      </c>
      <c r="B693" t="s">
        <v>3176</v>
      </c>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3147</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t="s">
        <v>3177</v>
      </c>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3147</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3150</v>
      </c>
      <c r="B695" t="s">
        <v>3178</v>
      </c>
      <c r="C695" s="63" t="s">
        <v>3079</v>
      </c>
      <c r="D695" s="64" t="str">
        <f t="shared" si="32"/>
        <v>Documents\GitHub\Ozon_upload\barcode\punky monkey\set_cartoon_boundles\Термонаклейка набор Человек-Паук Майлс spider-man.pdf</v>
      </c>
      <c r="E695" s="65" t="str">
        <f>CONCATENATE("C:\Users\",username!A301,"\Documents\GitHub\Ozon_upload\DTF_images\max\A4\set_cartoon_boundles\",C695,".tif")</f>
        <v>C:\Users\maxim\Documents\GitHub\Ozon_upload\DTF_images\max\A4\set_cartoon_boundles\set3_010_spiderNew.tif</v>
      </c>
      <c r="F695" s="67">
        <v>1</v>
      </c>
      <c r="G695" s="67">
        <v>1</v>
      </c>
      <c r="H695" s="69" t="s">
        <v>3147</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3138</v>
      </c>
      <c r="B696" t="s">
        <v>3179</v>
      </c>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3147</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t="s">
        <v>3180</v>
      </c>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3147</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t="s">
        <v>3181</v>
      </c>
      <c r="C698" s="63" t="s">
        <v>3083</v>
      </c>
      <c r="D698" s="64" t="str">
        <f>CONCATENATE("Documents\GitHub\Ozon_upload\barcode\punky monkey\set_cartoon_boundles\", A698, ".pdf")</f>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3147</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3142</v>
      </c>
      <c r="B699" t="s">
        <v>3182</v>
      </c>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3147</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t="s">
        <v>3183</v>
      </c>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3147</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t="s">
        <v>3184</v>
      </c>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3147</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t="s">
        <v>3185</v>
      </c>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3147</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t="s">
        <v>3186</v>
      </c>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3147</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3143</v>
      </c>
      <c r="B704" t="s">
        <v>3187</v>
      </c>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3147</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3151</v>
      </c>
      <c r="B705" t="s">
        <v>3188</v>
      </c>
      <c r="C705" s="63" t="s">
        <v>3148</v>
      </c>
      <c r="D705" s="64" t="str">
        <f t="shared" si="32"/>
        <v>Documents\GitHub\Ozon_upload\barcode\punky monkey\set_cartoon_boundles\Термонаклейка набор Губка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3147</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3152</v>
      </c>
      <c r="B706" t="s">
        <v>3189</v>
      </c>
      <c r="C706" s="63" t="s">
        <v>3090</v>
      </c>
      <c r="D706" s="64" t="str">
        <f t="shared" si="32"/>
        <v>Documents\GitHub\Ozon_upload\barcode\punky monkey\set_cartoon_boundles\Термонаклейка набор Черепашки ниндзя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3147</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3153</v>
      </c>
      <c r="B707" t="s">
        <v>3190</v>
      </c>
      <c r="C707" s="63" t="s">
        <v>3149</v>
      </c>
      <c r="D707" s="64" t="str">
        <f t="shared" si="32"/>
        <v>Documents\GitHub\Ozon_upload\barcode\punky monkey\set_cartoon_boundles\Термонаклейка набор Том и Джерри Tom and Jerry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3147</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3140</v>
      </c>
      <c r="B708" t="s">
        <v>3191</v>
      </c>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3147</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t="s">
        <v>3192</v>
      </c>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3147</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2026-05-15T07:46:54Z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