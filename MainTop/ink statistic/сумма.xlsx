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30.05.2026 Макс Имена города\"/>
    </mc:Choice>
  </mc:AlternateContent>
  <xr:revisionPtr revIDLastSave="0" documentId="13_ncr:1_{7C1AFC35-6475-4E54-9CEA-7A021A2531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3" i="1" l="1"/>
  <c r="J17" i="1"/>
  <c r="L10" i="1"/>
  <c r="L9" i="1"/>
  <c r="H10" i="1"/>
  <c r="F10" i="1"/>
  <c r="E10" i="1"/>
  <c r="D10" i="1"/>
  <c r="C10" i="1"/>
  <c r="B10" i="1"/>
  <c r="A10" i="1"/>
</calcChain>
</file>

<file path=xl/sharedStrings.xml><?xml version="1.0" encoding="utf-8"?>
<sst xmlns="http://schemas.openxmlformats.org/spreadsheetml/2006/main" count="7" uniqueCount="7">
  <si>
    <t>хром эрзац</t>
  </si>
  <si>
    <t>280 гр</t>
  </si>
  <si>
    <t>280 шт в пачке</t>
  </si>
  <si>
    <t>пачка 5 кг</t>
  </si>
  <si>
    <t>2руб за лист</t>
  </si>
  <si>
    <t>94 руб за кг</t>
  </si>
  <si>
    <t>280гр рлев 80,900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</si>
</sst>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23"/>
  <sheetViews>
    <sheetView tabSelected="1" workbookViewId="0">
      <selection activeCell="D15" sqref="D15"/>
    </sheetView>
  </sheetViews>
  <sheetFormatPr defaultRowHeight="15" x14ac:dyDescent="0.25"/>
  <cols>
    <col min="10" max="10" width="12.7109375" customWidth="1"/>
  </cols>
  <sheetData>
    <row r="2" spans="1:17" x14ac:dyDescent="0.25">
      <c r="A2">
        <v>20</v>
      </c>
    </row>
    <row r="3" spans="1:17" x14ac:dyDescent="0.25">
      <c r="A3">
        <v>11</v>
      </c>
      <c r="J3" t="s">
        <v>0</v>
      </c>
    </row>
    <row r="4" spans="1:17" x14ac:dyDescent="0.25">
      <c r="A4">
        <v>17</v>
      </c>
      <c r="J4" t="s">
        <v>1</v>
      </c>
    </row>
    <row r="5" spans="1:17" x14ac:dyDescent="0.25">
      <c r="A5">
        <v>10</v>
      </c>
      <c r="J5" t="s">
        <v>2</v>
      </c>
    </row>
    <row r="6" spans="1:17" x14ac:dyDescent="0.25">
      <c r="A6">
        <v>10</v>
      </c>
      <c r="J6" t="s">
        <v>3</v>
      </c>
      <c r="N6" t="s">
        <v>5</v>
      </c>
    </row>
    <row r="7" spans="1:17" x14ac:dyDescent="0.25">
      <c r="A7">
        <v>18</v>
      </c>
      <c r="J7" t="s">
        <v>4</v>
      </c>
    </row>
    <row r="8" spans="1:17" x14ac:dyDescent="0.25">
      <c r="A8">
        <v>18</v>
      </c>
    </row>
    <row r="9" spans="1:17" x14ac:dyDescent="0.25">
      <c r="A9">
        <v>18</v>
      </c>
      <c r="K9">
        <v>800</v>
      </c>
      <c r="L9">
        <f>K9/5</f>
        <v>160</v>
      </c>
    </row>
    <row r="10" spans="1:17" x14ac:dyDescent="0.25">
      <c r="A10">
        <f>SUM(A2:A9)</f>
        <v>122</v>
      </c>
      <c r="B10">
        <f>A10*280</f>
        <v>34160</v>
      </c>
      <c r="C10">
        <f>B10*0.2</f>
        <v>6832</v>
      </c>
      <c r="D10">
        <f>B10-C10</f>
        <v>27328</v>
      </c>
      <c r="E10">
        <f>C10*2</f>
        <v>13664</v>
      </c>
      <c r="F10">
        <f>D10+E10</f>
        <v>40992</v>
      </c>
      <c r="H10">
        <f>F10/20000</f>
        <v>2.0495999999999999</v>
      </c>
      <c r="K10">
        <v>88000</v>
      </c>
      <c r="L10">
        <f>K10/L9</f>
        <v>550</v>
      </c>
    </row>
    <row r="13" spans="1:17" x14ac:dyDescent="0.25">
      <c r="A13">
        <f>A10*5</f>
        <v>610</v>
      </c>
    </row>
    <row r="15" spans="1:17" x14ac:dyDescent="0.25">
      <c r="A15">
        <v>240</v>
      </c>
    </row>
    <row r="16" spans="1:17" x14ac:dyDescent="0.25">
      <c r="Q16" t="s">
        <v>6</v>
      </c>
    </row>
    <row r="17" spans="3:15" x14ac:dyDescent="0.25">
      <c r="F17">
        <v>0.215</v>
      </c>
      <c r="G17">
        <v>0.3</v>
      </c>
      <c r="H17">
        <v>0.115</v>
      </c>
      <c r="I17">
        <v>200</v>
      </c>
      <c r="J17">
        <f>F17*G17*H17*I17</f>
        <v>1.4835</v>
      </c>
      <c r="K17">
        <v>1000</v>
      </c>
    </row>
    <row r="21" spans="3:15" x14ac:dyDescent="0.25">
      <c r="C21">
        <v>1200</v>
      </c>
    </row>
    <row r="23" spans="3:15" x14ac:dyDescent="0.25">
      <c r="N23">
        <v>88000</v>
      </c>
      <c r="O23">
        <v>95200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2015-06-05T18:19:34Z</dcterms:created>
  <dcterms:modified xsi:type="dcterms:W3CDTF">2026-06-02T11:07:47Z</dcterms:modified>
</cp:coreProperties>
</file>