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F6644C1B-EC90-4284-8E2F-5D8668F14B01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спрос" sheetId="9" r:id="rId8"/>
    <sheet name="остатки" sheetId="10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10" l="1"/>
  <c r="K11" i="10"/>
  <c r="K10" i="10"/>
  <c r="K9" i="10"/>
  <c r="K8" i="10"/>
  <c r="K7" i="10"/>
  <c r="K6" i="10"/>
  <c r="K5" i="10"/>
  <c r="K4" i="10"/>
  <c r="I11" i="10"/>
  <c r="H4" i="10"/>
  <c r="I4" i="10" s="1"/>
  <c r="H11" i="10"/>
  <c r="H12" i="10"/>
  <c r="I12" i="10" s="1"/>
  <c r="G5" i="10"/>
  <c r="H5" i="10" s="1"/>
  <c r="I5" i="10" s="1"/>
  <c r="G6" i="10"/>
  <c r="H6" i="10" s="1"/>
  <c r="I6" i="10" s="1"/>
  <c r="G7" i="10"/>
  <c r="H7" i="10" s="1"/>
  <c r="I7" i="10" s="1"/>
  <c r="G8" i="10"/>
  <c r="H8" i="10" s="1"/>
  <c r="I8" i="10" s="1"/>
  <c r="G9" i="10"/>
  <c r="H9" i="10" s="1"/>
  <c r="I9" i="10" s="1"/>
  <c r="G10" i="10"/>
  <c r="H10" i="10" s="1"/>
  <c r="G11" i="10"/>
  <c r="G12" i="10"/>
  <c r="G4" i="10"/>
  <c r="F8" i="10"/>
  <c r="F7" i="10"/>
  <c r="F6" i="10"/>
  <c r="F5" i="10"/>
  <c r="F4" i="10"/>
  <c r="F12" i="10"/>
  <c r="F11" i="10"/>
  <c r="F10" i="10"/>
  <c r="F9" i="10"/>
  <c r="A22" i="8"/>
  <c r="I10" i="10" l="1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G4" i="3"/>
  <c r="G5" i="3"/>
  <c r="H5" i="3"/>
  <c r="C5" i="8" s="1"/>
  <c r="G5" i="8" s="1"/>
  <c r="F2" i="9"/>
  <c r="G8" i="8"/>
  <c r="I8" i="8" s="1"/>
  <c r="K8" i="8" s="1"/>
  <c r="C6" i="8"/>
  <c r="G6" i="8" s="1"/>
  <c r="I6" i="8" s="1"/>
  <c r="H6" i="3"/>
  <c r="H4" i="3"/>
  <c r="C4" i="8" s="1"/>
  <c r="G4" i="8" s="1"/>
  <c r="G6" i="3"/>
  <c r="I3" i="8" l="1"/>
  <c r="I4" i="8"/>
  <c r="I5" i="8"/>
  <c r="M4" i="8"/>
  <c r="L8" i="8"/>
  <c r="H2" i="3"/>
  <c r="C2" i="8" s="1"/>
  <c r="G2" i="8" s="1"/>
  <c r="I2" i="8" s="1"/>
  <c r="F2" i="3" l="1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<sst xmlns="http://schemas.openxmlformats.org/spreadsheetml/2006/main" count="88" uniqueCount="36">
  <si>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</si>
  <si>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</si>
  <si>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</si>
  <si>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</si>
  <si>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</si>
  <si>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</si>
  <si>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</si>
  <si>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</si>
  <si>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</si>
  <si>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</si>
  <si>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</si>
  <si>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</si>
  <si>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</si>
  <si>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</si>
  <si>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</si>
  <si>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</si>
  <si>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</si>
  <si>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</si>
  <si>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punky monkey ВБ</t>
  </si>
  <si>
    <t>amazing pics</t>
  </si>
  <si>
    <t>amazing pics OZON</t>
  </si>
  <si>
    <t>punky monkey OZON</t>
  </si>
  <si>
    <t>punky monkey stickers OZON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</si>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</sst>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26</v>
      </c>
      <c r="F1" s="2" t="s">
        <v>24</v>
      </c>
      <c r="G1" s="2" t="s">
        <v>25</v>
      </c>
      <c r="H1" s="2" t="s">
        <v>27</v>
      </c>
      <c r="I1" s="2" t="s">
        <v>23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A9FAA-9B28-4465-A0CA-F334D704BDBB}">
  <dimension ref="A1:F2"/>
  <sheetViews>
    <sheetView workbookViewId="0">
      <selection activeCell="F2" sqref="F2"/>
    </sheetView>
  </sheetViews>
  <sheetFormatPr defaultRowHeight="15" x14ac:dyDescent="0.25"/>
  <cols>
    <col min="1" max="1" width="17.140625" customWidth="1"/>
    <col min="2" max="2" width="19" customWidth="1"/>
    <col min="3" max="3" width="18" customWidth="1"/>
    <col min="4" max="4" width="21.140625" customWidth="1"/>
    <col min="5" max="5" width="27.42578125" customWidth="1"/>
  </cols>
  <sheetData>
    <row r="1" spans="1:6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</row>
    <row r="2" spans="1:6" x14ac:dyDescent="0.25">
      <c r="A2">
        <v>2000</v>
      </c>
      <c r="B2">
        <v>10400</v>
      </c>
      <c r="C2">
        <v>3000</v>
      </c>
      <c r="D2">
        <v>870</v>
      </c>
      <c r="E2">
        <v>1400</v>
      </c>
      <c r="F2">
        <f>SUM(A2:E2)</f>
        <v>17670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K17"/>
  <sheetViews>
    <sheetView tabSelected="1" workbookViewId="0">
      <selection activeCell="M8" sqref="M8"/>
    </sheetView>
  </sheetViews>
  <sheetFormatPr defaultRowHeight="15" x14ac:dyDescent="0.25"/>
  <cols>
    <col min="1" max="1" width="28.42578125" customWidth="1"/>
    <col min="7" max="7" width="18" customWidth="1"/>
    <col min="8" max="8" width="10.7109375" customWidth="1"/>
    <col min="9" max="9" width="13.140625" customWidth="1"/>
    <col min="10" max="10" width="15.5703125" customWidth="1"/>
  </cols>
  <sheetData>
    <row r="1" spans="1:11" ht="18.75" customHeight="1" x14ac:dyDescent="0.25">
      <c r="A1" s="4" t="s">
        <v>24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x14ac:dyDescent="0.25">
      <c r="A2" s="5">
        <v>30000</v>
      </c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ht="45" x14ac:dyDescent="0.25">
      <c r="A3" s="9" t="s">
        <v>28</v>
      </c>
      <c r="B3" s="9" t="s">
        <v>16</v>
      </c>
      <c r="C3" s="9" t="s">
        <v>14</v>
      </c>
      <c r="D3" s="10" t="s">
        <v>17</v>
      </c>
      <c r="E3" s="11" t="s">
        <v>17</v>
      </c>
      <c r="F3" s="12" t="s">
        <v>26</v>
      </c>
      <c r="G3" s="4" t="s">
        <v>24</v>
      </c>
      <c r="H3" s="4" t="s">
        <v>25</v>
      </c>
      <c r="I3" s="5" t="s">
        <v>32</v>
      </c>
      <c r="J3" s="5" t="s">
        <v>35</v>
      </c>
      <c r="K3" s="5"/>
    </row>
    <row r="4" spans="1:11" x14ac:dyDescent="0.25">
      <c r="A4" s="5" t="s">
        <v>0</v>
      </c>
      <c r="B4" s="5">
        <v>0.09</v>
      </c>
      <c r="C4" s="5">
        <v>4</v>
      </c>
      <c r="D4" s="7">
        <v>7</v>
      </c>
      <c r="E4" s="6"/>
      <c r="F4" s="1">
        <f t="shared" ref="F4:F8" si="0">SUM(C4:E4)</f>
        <v>11</v>
      </c>
      <c r="G4" s="5">
        <f>A2</f>
        <v>30000</v>
      </c>
      <c r="H4" s="5">
        <f t="shared" ref="H4:H9" si="1">ROUNDUP(B4*G4/1000,0)</f>
        <v>3</v>
      </c>
      <c r="I4" s="5">
        <f>ROUNDUP(F4/H4,1)</f>
        <v>3.7</v>
      </c>
      <c r="J4" s="5">
        <v>2</v>
      </c>
      <c r="K4" s="5">
        <f>H4*J4</f>
        <v>6</v>
      </c>
    </row>
    <row r="5" spans="1:11" x14ac:dyDescent="0.25">
      <c r="A5" s="5" t="s">
        <v>1</v>
      </c>
      <c r="B5" s="5">
        <v>0.09</v>
      </c>
      <c r="C5" s="5">
        <v>4</v>
      </c>
      <c r="D5" s="7">
        <v>7</v>
      </c>
      <c r="E5" s="6"/>
      <c r="F5" s="1">
        <f t="shared" si="0"/>
        <v>11</v>
      </c>
      <c r="G5" s="5">
        <f>A2</f>
        <v>30000</v>
      </c>
      <c r="H5" s="5">
        <f t="shared" si="1"/>
        <v>3</v>
      </c>
      <c r="I5" s="5">
        <f t="shared" ref="I5:I12" si="2">ROUNDUP(F5/H5,1)</f>
        <v>3.7</v>
      </c>
      <c r="J5" s="5">
        <v>2</v>
      </c>
      <c r="K5" s="5">
        <f t="shared" ref="K5:K12" si="3">H5*J5</f>
        <v>6</v>
      </c>
    </row>
    <row r="6" spans="1:11" x14ac:dyDescent="0.25">
      <c r="A6" s="5" t="s">
        <v>2</v>
      </c>
      <c r="B6" s="5">
        <v>0.19</v>
      </c>
      <c r="C6" s="5">
        <v>6</v>
      </c>
      <c r="D6" s="7">
        <v>15</v>
      </c>
      <c r="E6" s="6"/>
      <c r="F6" s="1">
        <f t="shared" si="0"/>
        <v>21</v>
      </c>
      <c r="G6" s="5">
        <f>A2</f>
        <v>30000</v>
      </c>
      <c r="H6" s="5">
        <f t="shared" si="1"/>
        <v>6</v>
      </c>
      <c r="I6" s="5">
        <f t="shared" si="2"/>
        <v>3.5</v>
      </c>
      <c r="J6" s="5">
        <v>2</v>
      </c>
      <c r="K6" s="5">
        <f t="shared" si="3"/>
        <v>12</v>
      </c>
    </row>
    <row r="7" spans="1:11" x14ac:dyDescent="0.25">
      <c r="A7" s="5" t="s">
        <v>3</v>
      </c>
      <c r="B7" s="5">
        <v>0.24</v>
      </c>
      <c r="C7" s="5">
        <v>9</v>
      </c>
      <c r="D7" s="7">
        <v>21</v>
      </c>
      <c r="E7" s="6"/>
      <c r="F7" s="1">
        <f t="shared" si="0"/>
        <v>30</v>
      </c>
      <c r="G7" s="5">
        <f>A2</f>
        <v>30000</v>
      </c>
      <c r="H7" s="5">
        <f t="shared" si="1"/>
        <v>8</v>
      </c>
      <c r="I7" s="5">
        <f t="shared" si="2"/>
        <v>3.8000000000000003</v>
      </c>
      <c r="J7" s="5">
        <v>2</v>
      </c>
      <c r="K7" s="5">
        <f t="shared" si="3"/>
        <v>16</v>
      </c>
    </row>
    <row r="8" spans="1:11" x14ac:dyDescent="0.25">
      <c r="A8" s="5" t="s">
        <v>4</v>
      </c>
      <c r="B8" s="5">
        <v>2.5</v>
      </c>
      <c r="C8" s="5">
        <v>130</v>
      </c>
      <c r="D8" s="7">
        <v>130</v>
      </c>
      <c r="E8" s="6"/>
      <c r="F8" s="1">
        <f t="shared" si="0"/>
        <v>260</v>
      </c>
      <c r="G8" s="5">
        <f>A2</f>
        <v>30000</v>
      </c>
      <c r="H8" s="5">
        <f t="shared" si="1"/>
        <v>75</v>
      </c>
      <c r="I8" s="5">
        <f t="shared" si="2"/>
        <v>3.5</v>
      </c>
      <c r="J8" s="5">
        <v>2</v>
      </c>
      <c r="K8" s="5">
        <f t="shared" si="3"/>
        <v>150</v>
      </c>
    </row>
    <row r="9" spans="1:11" x14ac:dyDescent="0.25">
      <c r="A9" s="5" t="s">
        <v>10</v>
      </c>
      <c r="B9" s="5">
        <v>4</v>
      </c>
      <c r="C9" s="5">
        <v>100</v>
      </c>
      <c r="D9" s="8">
        <v>120</v>
      </c>
      <c r="E9" s="8">
        <v>260</v>
      </c>
      <c r="F9" s="1">
        <f>SUM(C9:E9)</f>
        <v>480</v>
      </c>
      <c r="G9" s="5">
        <f>A2</f>
        <v>30000</v>
      </c>
      <c r="H9" s="5">
        <f t="shared" si="1"/>
        <v>120</v>
      </c>
      <c r="I9" s="5">
        <f t="shared" si="2"/>
        <v>4</v>
      </c>
      <c r="J9" s="5">
        <v>2</v>
      </c>
      <c r="K9" s="5">
        <f t="shared" si="3"/>
        <v>240</v>
      </c>
    </row>
    <row r="10" spans="1:11" x14ac:dyDescent="0.25">
      <c r="A10" s="5" t="s">
        <v>11</v>
      </c>
      <c r="B10" s="5">
        <v>1</v>
      </c>
      <c r="C10" s="5">
        <v>66</v>
      </c>
      <c r="D10" s="7">
        <v>36</v>
      </c>
      <c r="E10" s="6"/>
      <c r="F10" s="1">
        <f>SUM(C10:E10)</f>
        <v>102</v>
      </c>
      <c r="G10" s="5">
        <f>A2</f>
        <v>30000</v>
      </c>
      <c r="H10" s="5">
        <f>ROUNDUP(B10*G10/1000,0)</f>
        <v>30</v>
      </c>
      <c r="I10" s="5">
        <f t="shared" si="2"/>
        <v>3.4</v>
      </c>
      <c r="J10" s="5">
        <v>2</v>
      </c>
      <c r="K10" s="5">
        <f t="shared" si="3"/>
        <v>60</v>
      </c>
    </row>
    <row r="11" spans="1:11" x14ac:dyDescent="0.25">
      <c r="A11" s="5" t="s">
        <v>12</v>
      </c>
      <c r="B11" s="5">
        <v>0.25</v>
      </c>
      <c r="C11" s="5">
        <v>25</v>
      </c>
      <c r="D11" s="7"/>
      <c r="E11" s="6"/>
      <c r="F11" s="1">
        <f>SUM(C11:E11)</f>
        <v>25</v>
      </c>
      <c r="G11" s="5">
        <f>A2</f>
        <v>30000</v>
      </c>
      <c r="H11" s="5">
        <f>ROUNDUP(B11*G11/1000,0)</f>
        <v>8</v>
      </c>
      <c r="I11" s="5">
        <f t="shared" si="2"/>
        <v>3.2</v>
      </c>
      <c r="J11" s="5">
        <v>2</v>
      </c>
      <c r="K11" s="5">
        <f t="shared" si="3"/>
        <v>16</v>
      </c>
    </row>
    <row r="12" spans="1:11" x14ac:dyDescent="0.25">
      <c r="A12" s="5" t="s">
        <v>13</v>
      </c>
      <c r="B12" s="5">
        <v>0.25</v>
      </c>
      <c r="C12" s="5">
        <v>2</v>
      </c>
      <c r="D12" s="7"/>
      <c r="E12" s="6"/>
      <c r="F12" s="1">
        <f>SUM(C12:E12)</f>
        <v>2</v>
      </c>
      <c r="G12" s="5">
        <f>A2</f>
        <v>30000</v>
      </c>
      <c r="H12" s="5">
        <f>ROUNDUP(B12*G12/1000,0)</f>
        <v>8</v>
      </c>
      <c r="I12" s="5">
        <f t="shared" si="2"/>
        <v>0.30000000000000004</v>
      </c>
      <c r="J12" s="5">
        <v>2</v>
      </c>
      <c r="K12" s="5">
        <f t="shared" si="3"/>
        <v>16</v>
      </c>
    </row>
    <row r="13" spans="1:11" x14ac:dyDescent="0.25">
      <c r="A13" s="13" t="s">
        <v>29</v>
      </c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25">
      <c r="A14" s="13" t="s">
        <v>33</v>
      </c>
      <c r="B14" s="5"/>
      <c r="C14" s="5"/>
      <c r="D14" s="5"/>
      <c r="E14" s="5"/>
      <c r="F14" s="5"/>
      <c r="G14" s="5"/>
      <c r="H14" s="5"/>
      <c r="I14" s="5"/>
      <c r="J14" s="5"/>
      <c r="K14" s="5"/>
    </row>
    <row r="15" spans="1:11" x14ac:dyDescent="0.25">
      <c r="A15" s="13" t="s">
        <v>34</v>
      </c>
      <c r="B15" s="5"/>
      <c r="C15" s="5"/>
      <c r="D15" s="5"/>
      <c r="E15" s="5"/>
      <c r="F15" s="5"/>
      <c r="G15" s="5"/>
      <c r="H15" s="5"/>
      <c r="I15" s="5"/>
      <c r="J15" s="5"/>
      <c r="K15" s="5"/>
    </row>
    <row r="16" spans="1:11" x14ac:dyDescent="0.25">
      <c r="A16" s="13" t="s">
        <v>30</v>
      </c>
      <c r="B16" s="5"/>
      <c r="C16" s="5"/>
      <c r="D16" s="5"/>
      <c r="E16" s="5"/>
      <c r="F16" s="5"/>
      <c r="G16" s="5"/>
      <c r="H16" s="5"/>
      <c r="I16" s="5"/>
      <c r="J16" s="5"/>
      <c r="K16" s="5"/>
    </row>
    <row r="17" spans="1:11" x14ac:dyDescent="0.25">
      <c r="A17" s="13" t="s">
        <v>31</v>
      </c>
      <c r="B17" s="5"/>
      <c r="C17" s="5"/>
      <c r="D17" s="5"/>
      <c r="E17" s="5"/>
      <c r="F17" s="5"/>
      <c r="G17" s="5"/>
      <c r="H17" s="5"/>
      <c r="I17" s="5"/>
      <c r="J17" s="5"/>
      <c r="K17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спрос</vt:lpstr>
      <vt:lpstr>остатки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2026-06-05T05:03:02Z</dcterms:modified>
</cp:coreProperties>
</file>