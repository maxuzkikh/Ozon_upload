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ink statistic\"/>
    </mc:Choice>
  </mc:AlternateContent>
  <xr:revisionPtr revIDLastSave="0" documentId="13_ncr:1_{DADE85F9-CB52-46AD-87AD-0F05917FBE9C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total" sheetId="3" r:id="rId1"/>
    <sheet name="Лист6" sheetId="7" r:id="rId2"/>
    <sheet name="Лист1" sheetId="1" r:id="rId3"/>
    <sheet name="Лист2" sheetId="2" r:id="rId4"/>
    <sheet name="Лист3" sheetId="4" r:id="rId5"/>
    <sheet name="Лист4" sheetId="5" r:id="rId6"/>
    <sheet name="Лист5" sheetId="6" r:id="rId7"/>
    <sheet name="остатки 12.05.2026" sheetId="8" r:id="rId8"/>
    <sheet name="спрос" sheetId="9" r:id="rId9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" i="8" l="1"/>
  <c r="K6" i="8"/>
  <c r="C10" i="8"/>
  <c r="G10" i="8" s="1"/>
  <c r="I10" i="8" s="1"/>
  <c r="C9" i="8"/>
  <c r="G9" i="8" s="1"/>
  <c r="I9" i="8" s="1"/>
  <c r="C8" i="8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2" i="3"/>
  <c r="G3" i="3"/>
  <c r="H3" i="3" s="1"/>
  <c r="C3" i="8" s="1"/>
  <c r="G3" i="8" s="1"/>
  <c r="I3" i="8" s="1"/>
  <c r="G4" i="3"/>
  <c r="G5" i="3"/>
  <c r="H5" i="3"/>
  <c r="C5" i="8" s="1"/>
  <c r="G5" i="8" s="1"/>
  <c r="I5" i="8" s="1"/>
  <c r="F2" i="9"/>
  <c r="G8" i="8"/>
  <c r="I8" i="8" s="1"/>
  <c r="K8" i="8" s="1"/>
  <c r="C6" i="8"/>
  <c r="G6" i="8" s="1"/>
  <c r="I6" i="8" s="1"/>
  <c r="H6" i="3"/>
  <c r="H4" i="3"/>
  <c r="C4" i="8" s="1"/>
  <c r="G4" i="8" s="1"/>
  <c r="I4" i="8" s="1"/>
  <c r="G6" i="3"/>
  <c r="L8" i="8" l="1"/>
  <c r="H2" i="3"/>
  <c r="C2" i="8" s="1"/>
  <c r="G2" i="8" s="1"/>
  <c r="I2" i="8" s="1"/>
  <c r="F2" i="3" l="1"/>
  <c r="B7" i="6"/>
  <c r="B7" i="1"/>
  <c r="B7" i="2"/>
  <c r="B7" i="4"/>
  <c r="B7" i="5"/>
  <c r="B6" i="3"/>
  <c r="C6" i="3" s="1"/>
  <c r="B5" i="3"/>
  <c r="C5" i="3" s="1"/>
  <c r="B4" i="3"/>
  <c r="C4" i="3" s="1"/>
  <c r="B3" i="3"/>
  <c r="C3" i="3" s="1"/>
  <c r="B2" i="3"/>
  <c r="C2" i="3" s="1"/>
</calcChain>
</file>

<file path=xl/sharedStrings.xml><?xml version="1.0" encoding="utf-8"?>
<sst xmlns="http://schemas.openxmlformats.org/spreadsheetml/2006/main" count="63" uniqueCount="28">
  <si>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</si>
  <si>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</si>
  <si>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</si>
  <si>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</si>
  <si>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</si>
  <si>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</si>
  <si>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</si>
  <si>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</si>
  <si>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</si>
  <si>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</si>
  <si>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</si>
  <si>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</si>
  <si>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</si>
  <si>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</si>
  <si>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</si>
  <si>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</si>
  <si>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</si>
  <si>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</si>
  <si>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punky monkey ВБ</t>
  </si>
  <si>
    <t>amazing pics</t>
  </si>
  <si>
    <t>amazing pics OZON</t>
  </si>
  <si>
    <t>punky monkey OZON</t>
  </si>
  <si>
    <t>punky monkey stickers OZON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</si>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</sst>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I11" sqref="I11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9E650-0387-4205-894C-7D214F736D4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10"/>
  <sheetViews>
    <sheetView tabSelected="1" workbookViewId="0">
      <selection activeCell="M10" sqref="M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26</v>
      </c>
      <c r="F1" s="2" t="s">
        <v>24</v>
      </c>
      <c r="G1" s="2" t="s">
        <v>25</v>
      </c>
      <c r="H1" s="2" t="s">
        <v>27</v>
      </c>
      <c r="I1" s="2" t="s">
        <v>23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0">B3+D3</f>
        <v>6</v>
      </c>
      <c r="F3">
        <v>30000</v>
      </c>
      <c r="G3">
        <f>ROUNDUP(C3*F3/1000,0)</f>
        <v>3</v>
      </c>
      <c r="H3">
        <v>4</v>
      </c>
      <c r="I3">
        <f>G3*H3-E3</f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0"/>
        <v>9</v>
      </c>
      <c r="F4">
        <v>30000</v>
      </c>
      <c r="G4">
        <f>ROUNDUP(C4*F4/1000,0)</f>
        <v>6</v>
      </c>
      <c r="H4">
        <v>4</v>
      </c>
      <c r="I4">
        <f>G4*H4-E4</f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0"/>
        <v>11</v>
      </c>
      <c r="F5">
        <v>30000</v>
      </c>
      <c r="G5">
        <f>ROUNDUP(C5*F5/1000,0)</f>
        <v>8</v>
      </c>
      <c r="H5">
        <v>4</v>
      </c>
      <c r="I5">
        <f>G5*H5-E5</f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0"/>
        <v>169</v>
      </c>
      <c r="F6">
        <v>30000</v>
      </c>
      <c r="G6">
        <f>ROUNDUP(C6*F6/1000,0)</f>
        <v>75</v>
      </c>
      <c r="H6">
        <v>4</v>
      </c>
      <c r="I6">
        <f>G6*H6-E6</f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0"/>
        <v>220</v>
      </c>
      <c r="F7">
        <v>30000</v>
      </c>
      <c r="G7">
        <f>C7*F7/1000</f>
        <v>120</v>
      </c>
      <c r="H7">
        <v>4</v>
      </c>
      <c r="I7">
        <f>G7*H7-E7</f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0"/>
        <v>58</v>
      </c>
      <c r="F8">
        <v>30000</v>
      </c>
      <c r="G8">
        <f>C8*F8/1000</f>
        <v>30</v>
      </c>
      <c r="H8">
        <v>4</v>
      </c>
      <c r="I8">
        <f>G8*H8-E8</f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0"/>
        <v>25</v>
      </c>
      <c r="F9">
        <v>30000</v>
      </c>
      <c r="G9">
        <f>C9*F9/1000</f>
        <v>7.5</v>
      </c>
      <c r="H9">
        <v>4</v>
      </c>
      <c r="I9">
        <f>G9*H9-E9</f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0"/>
        <v>1</v>
      </c>
      <c r="F10">
        <v>30000</v>
      </c>
      <c r="G10">
        <f>C10*F10/1000</f>
        <v>7.5</v>
      </c>
      <c r="H10">
        <v>4</v>
      </c>
      <c r="I10">
        <f>G10*H10-E10</f>
        <v>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A9FAA-9B28-4465-A0CA-F334D704BDBB}">
  <dimension ref="A1:F2"/>
  <sheetViews>
    <sheetView workbookViewId="0">
      <selection activeCell="F2" sqref="F2"/>
    </sheetView>
  </sheetViews>
  <sheetFormatPr defaultRowHeight="15" x14ac:dyDescent="0.25"/>
  <cols>
    <col min="1" max="1" width="17.140625" customWidth="1"/>
    <col min="2" max="2" width="19" customWidth="1"/>
    <col min="3" max="3" width="18" customWidth="1"/>
    <col min="4" max="4" width="21.140625" customWidth="1"/>
    <col min="5" max="5" width="27.42578125" customWidth="1"/>
  </cols>
  <sheetData>
    <row r="1" spans="1:6" x14ac:dyDescent="0.25">
      <c r="A1" t="s">
        <v>18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</row>
    <row r="2" spans="1:6" x14ac:dyDescent="0.25">
      <c r="A2">
        <v>2000</v>
      </c>
      <c r="B2">
        <v>10400</v>
      </c>
      <c r="C2">
        <v>3000</v>
      </c>
      <c r="D2">
        <v>870</v>
      </c>
      <c r="E2">
        <v>1400</v>
      </c>
      <c r="F2">
        <f>SUM(A2:E2)</f>
        <v>17670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total</vt:lpstr>
      <vt:lpstr>Лист6</vt:lpstr>
      <vt:lpstr>Лист1</vt:lpstr>
      <vt:lpstr>Лист2</vt:lpstr>
      <vt:lpstr>Лист3</vt:lpstr>
      <vt:lpstr>Лист4</vt:lpstr>
      <vt:lpstr>Лист5</vt:lpstr>
      <vt:lpstr>остатки 12.05.2026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2026-05-12T09:04:21Z</dcterms:modified>
</cp:coreProperties>
</file>