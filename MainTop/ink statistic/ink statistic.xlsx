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im\Documents\GitHub\Ozon_upload\MainTop\ink statistic\"/>
    </mc:Choice>
  </mc:AlternateContent>
  <xr:revisionPtr revIDLastSave="0" documentId="13_ncr:1_{DF528B88-230D-4BD1-98F9-7E190B7335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otal" sheetId="3" r:id="rId1"/>
    <sheet name="Лист1" sheetId="1" r:id="rId2"/>
    <sheet name="Лист2" sheetId="2" r:id="rId3"/>
    <sheet name="Лист3" sheetId="4" r:id="rId4"/>
    <sheet name="Лист4" sheetId="5" r:id="rId5"/>
    <sheet name="Лист5" sheetId="6" r:id="rId6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3" l="1"/>
  <c r="G3" i="3"/>
  <c r="G4" i="3"/>
  <c r="G5" i="3"/>
  <c r="F2" i="3"/>
  <c r="B7" i="6"/>
  <c r="B7" i="1"/>
  <c r="B7" i="2"/>
  <c r="B7" i="4"/>
  <c r="B7" i="5"/>
  <c r="B6" i="3"/>
  <c r="C6" i="3" s="1"/>
  <c r="B5" i="3"/>
  <c r="C5" i="3" s="1"/>
  <c r="B4" i="3"/>
  <c r="C4" i="3" s="1"/>
  <c r="B3" i="3"/>
  <c r="C3" i="3" s="1"/>
  <c r="B2" i="3"/>
  <c r="C2" i="3" s="1"/>
  <c r="G7" i="3" l="1"/>
  <c r="B7" i="3"/>
</calcChain>
</file>

<file path=xl/sharedStrings.xml><?xml version="1.0" encoding="utf-8"?>
<sst xmlns="http://schemas.openxmlformats.org/spreadsheetml/2006/main" count="35" uniqueCount="10">
  <si>
    <t>k</t>
  </si>
  <si>
    <t>c</t>
  </si>
  <si>
    <t>m</t>
  </si>
  <si>
    <t>y</t>
  </si>
  <si>
    <t>w</t>
  </si>
  <si>
    <t>100 шт</t>
  </si>
  <si>
    <t>10ml/m2</t>
  </si>
  <si>
    <t>60m2 рулон</t>
  </si>
  <si>
    <t>ml</t>
  </si>
  <si>
    <t>наши рачеты на 1 рулон уходит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</si>
</sst>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238C-D5E6-459E-9CEF-E017A45F1F58}">
  <dimension ref="A1:G7"/>
  <sheetViews>
    <sheetView tabSelected="1" workbookViewId="0">
      <selection activeCell="F6" sqref="F6"/>
    </sheetView>
  </sheetViews>
  <sheetFormatPr defaultRowHeight="15" x14ac:dyDescent="0.25"/>
  <cols>
    <col min="5" max="5" width="14.85546875" customWidth="1"/>
    <col min="7" max="7" width="30.7109375" customWidth="1"/>
  </cols>
  <sheetData>
    <row r="1" spans="1:7" x14ac:dyDescent="0.25">
      <c r="C1" t="s">
        <v>5</v>
      </c>
      <c r="D1" t="s">
        <v>6</v>
      </c>
      <c r="E1" t="s">
        <v>7</v>
      </c>
      <c r="F1" t="s">
        <v>8</v>
      </c>
      <c r="G1" t="s">
        <v>9</v>
      </c>
    </row>
    <row r="2" spans="1:7" x14ac:dyDescent="0.25">
      <c r="A2" t="s">
        <v>0</v>
      </c>
      <c r="B2">
        <f>(Лист1!B2+Лист2!B2+Лист3!B2+Лист4!B2+Лист5!B2)/5</f>
        <v>3.6560000000000002E-2</v>
      </c>
      <c r="C2">
        <f>ROUND(B2*100,0)</f>
        <v>4</v>
      </c>
      <c r="D2">
        <v>10</v>
      </c>
      <c r="E2">
        <v>60</v>
      </c>
      <c r="F2">
        <f>D2*E2</f>
        <v>600</v>
      </c>
      <c r="G2">
        <f>G6*B2*B6</f>
        <v>69.204424000000003</v>
      </c>
    </row>
    <row r="3" spans="1:7" x14ac:dyDescent="0.25">
      <c r="A3" t="s">
        <v>1</v>
      </c>
      <c r="B3">
        <f>(Лист1!B3+Лист2!B3+Лист3!B3+Лист4!B3+Лист5!B3)/5</f>
        <v>3.6759999999999994E-2</v>
      </c>
      <c r="C3">
        <f t="shared" ref="C3:C6" si="0">ROUND(B3*100,0)</f>
        <v>4</v>
      </c>
      <c r="G3">
        <f>G6*B3*B6</f>
        <v>69.583004000000003</v>
      </c>
    </row>
    <row r="4" spans="1:7" x14ac:dyDescent="0.25">
      <c r="A4" t="s">
        <v>2</v>
      </c>
      <c r="B4">
        <f>(Лист1!B4+Лист2!B4+Лист3!B4+Лист4!B4+Лист5!B4)/5</f>
        <v>7.4840000000000004E-2</v>
      </c>
      <c r="C4">
        <f t="shared" si="0"/>
        <v>7</v>
      </c>
      <c r="G4">
        <f>G6*B6*B4</f>
        <v>141.664636</v>
      </c>
    </row>
    <row r="5" spans="1:7" x14ac:dyDescent="0.25">
      <c r="A5" t="s">
        <v>3</v>
      </c>
      <c r="B5">
        <f>(Лист1!B5+Лист2!B5+Лист3!B5+Лист4!B5+Лист5!B5)/5</f>
        <v>9.4320000000000001E-2</v>
      </c>
      <c r="C5">
        <f t="shared" si="0"/>
        <v>9</v>
      </c>
      <c r="G5">
        <f>G6*B6*B5</f>
        <v>178.53832800000001</v>
      </c>
    </row>
    <row r="6" spans="1:7" x14ac:dyDescent="0.25">
      <c r="A6" t="s">
        <v>4</v>
      </c>
      <c r="B6">
        <f>(Лист1!B6+Лист2!B6+Лист3!B6+Лист4!B6+Лист5!B6)/5</f>
        <v>0.75716000000000006</v>
      </c>
      <c r="C6">
        <f t="shared" si="0"/>
        <v>76</v>
      </c>
      <c r="G6">
        <v>2500</v>
      </c>
    </row>
    <row r="7" spans="1:7" x14ac:dyDescent="0.25">
      <c r="B7">
        <f>SUM(B2:B6)</f>
        <v>0.99964000000000008</v>
      </c>
      <c r="G7">
        <f>SUM(G2:G6)</f>
        <v>2958.9903920000002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2.3300000000000001E-2</v>
      </c>
    </row>
    <row r="3" spans="1:2" x14ac:dyDescent="0.25">
      <c r="A3" t="s">
        <v>1</v>
      </c>
      <c r="B3">
        <v>2.5399999999999999E-2</v>
      </c>
    </row>
    <row r="4" spans="1:2" x14ac:dyDescent="0.25">
      <c r="A4" t="s">
        <v>2</v>
      </c>
      <c r="B4">
        <v>6.7400000000000002E-2</v>
      </c>
    </row>
    <row r="5" spans="1:2" x14ac:dyDescent="0.25">
      <c r="A5" t="s">
        <v>3</v>
      </c>
      <c r="B5">
        <v>0.1212</v>
      </c>
    </row>
    <row r="6" spans="1:2" x14ac:dyDescent="0.25">
      <c r="A6" t="s">
        <v>4</v>
      </c>
      <c r="B6">
        <v>0.76270000000000004</v>
      </c>
    </row>
    <row r="7" spans="1:2" x14ac:dyDescent="0.25">
      <c r="B7">
        <f>SUM(B2:B6)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5FB0-ECB9-47D4-BE04-0C95B3A3395A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4.0300000000000002E-2</v>
      </c>
    </row>
    <row r="3" spans="1:2" x14ac:dyDescent="0.25">
      <c r="A3" t="s">
        <v>1</v>
      </c>
      <c r="B3">
        <v>3.4799999999999998E-2</v>
      </c>
    </row>
    <row r="4" spans="1:2" x14ac:dyDescent="0.25">
      <c r="A4" t="s">
        <v>2</v>
      </c>
      <c r="B4">
        <v>6.7599999999999993E-2</v>
      </c>
    </row>
    <row r="5" spans="1:2" x14ac:dyDescent="0.25">
      <c r="A5" t="s">
        <v>3</v>
      </c>
      <c r="B5">
        <v>0.1215</v>
      </c>
    </row>
    <row r="6" spans="1:2" x14ac:dyDescent="0.25">
      <c r="A6" t="s">
        <v>4</v>
      </c>
      <c r="B6">
        <v>0.73550000000000004</v>
      </c>
    </row>
    <row r="7" spans="1:2" x14ac:dyDescent="0.25">
      <c r="B7">
        <f>SUM(B2:B6)</f>
        <v>0.99970000000000003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5C2F-8595-4FFF-BC02-593D2927B4F4}">
  <dimension ref="A2:B7"/>
  <sheetViews>
    <sheetView workbookViewId="0">
      <selection activeCell="B8" sqref="B8"/>
    </sheetView>
  </sheetViews>
  <sheetFormatPr defaultRowHeight="15" x14ac:dyDescent="0.25"/>
  <sheetData>
    <row r="2" spans="1:2" x14ac:dyDescent="0.25">
      <c r="A2" t="s">
        <v>0</v>
      </c>
      <c r="B2">
        <v>2.9399999999999999E-2</v>
      </c>
    </row>
    <row r="3" spans="1:2" x14ac:dyDescent="0.25">
      <c r="A3" t="s">
        <v>1</v>
      </c>
      <c r="B3">
        <v>4.1700000000000001E-2</v>
      </c>
    </row>
    <row r="4" spans="1:2" x14ac:dyDescent="0.25">
      <c r="A4" t="s">
        <v>2</v>
      </c>
      <c r="B4">
        <v>7.4800000000000005E-2</v>
      </c>
    </row>
    <row r="5" spans="1:2" x14ac:dyDescent="0.25">
      <c r="A5" t="s">
        <v>3</v>
      </c>
      <c r="B5">
        <v>8.4500000000000006E-2</v>
      </c>
    </row>
    <row r="6" spans="1:2" x14ac:dyDescent="0.25">
      <c r="A6" t="s">
        <v>4</v>
      </c>
      <c r="B6">
        <v>0.76980000000000004</v>
      </c>
    </row>
    <row r="7" spans="1:2" x14ac:dyDescent="0.25">
      <c r="B7">
        <f>SUM(B2:B6)</f>
        <v>1.0002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9167-92B2-489F-86B0-C0A74BA0E763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4.5999999999999999E-2</v>
      </c>
    </row>
    <row r="3" spans="1:2" x14ac:dyDescent="0.25">
      <c r="A3" t="s">
        <v>1</v>
      </c>
      <c r="B3">
        <v>4.4999999999999998E-2</v>
      </c>
    </row>
    <row r="4" spans="1:2" x14ac:dyDescent="0.25">
      <c r="A4" t="s">
        <v>2</v>
      </c>
      <c r="B4">
        <v>8.6800000000000002E-2</v>
      </c>
    </row>
    <row r="5" spans="1:2" x14ac:dyDescent="0.25">
      <c r="A5" t="s">
        <v>3</v>
      </c>
      <c r="B5">
        <v>7.0000000000000007E-2</v>
      </c>
    </row>
    <row r="6" spans="1:2" x14ac:dyDescent="0.25">
      <c r="A6" t="s">
        <v>4</v>
      </c>
      <c r="B6">
        <v>0.75</v>
      </c>
    </row>
    <row r="7" spans="1:2" x14ac:dyDescent="0.25">
      <c r="B7">
        <f>SUM(B2:B6)</f>
        <v>0.99780000000000002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4CF9D-614D-40DF-AA98-C8C3D39CF332}">
  <dimension ref="A2:B7"/>
  <sheetViews>
    <sheetView workbookViewId="0">
      <selection activeCell="C6" sqref="C6"/>
    </sheetView>
  </sheetViews>
  <sheetFormatPr defaultRowHeight="15" x14ac:dyDescent="0.25"/>
  <sheetData>
    <row r="2" spans="1:2" x14ac:dyDescent="0.25">
      <c r="A2" t="s">
        <v>0</v>
      </c>
      <c r="B2">
        <v>4.3799999999999999E-2</v>
      </c>
    </row>
    <row r="3" spans="1:2" x14ac:dyDescent="0.25">
      <c r="A3" t="s">
        <v>1</v>
      </c>
      <c r="B3">
        <v>3.6900000000000002E-2</v>
      </c>
    </row>
    <row r="4" spans="1:2" x14ac:dyDescent="0.25">
      <c r="A4" t="s">
        <v>2</v>
      </c>
      <c r="B4">
        <v>7.7600000000000002E-2</v>
      </c>
    </row>
    <row r="5" spans="1:2" x14ac:dyDescent="0.25">
      <c r="A5" t="s">
        <v>3</v>
      </c>
      <c r="B5">
        <v>7.4399999999999994E-2</v>
      </c>
    </row>
    <row r="6" spans="1:2" x14ac:dyDescent="0.25">
      <c r="A6" t="s">
        <v>4</v>
      </c>
      <c r="B6">
        <v>0.76780000000000004</v>
      </c>
    </row>
    <row r="7" spans="1:2" x14ac:dyDescent="0.25">
      <c r="B7">
        <f>SUM(B2:B6)</f>
        <v>1.0004999999999999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total</vt:lpstr>
      <vt:lpstr>Лист1</vt:lpstr>
      <vt:lpstr>Лист2</vt:lpstr>
      <vt:lpstr>Лист3</vt:lpstr>
      <vt:lpstr>Лист4</vt:lpstr>
      <vt:lpstr>Лист5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2026-05-11T09:56:53Z</dcterms:modified>
</cp:coreProperties>
</file>